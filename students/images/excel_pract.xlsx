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ERVER\Github\ruralnet\ruralnet.co.ke\students\images\"/>
    </mc:Choice>
  </mc:AlternateContent>
  <bookViews>
    <workbookView xWindow="0" yWindow="0" windowWidth="12495" windowHeight="5970"/>
  </bookViews>
  <sheets>
    <sheet name="DATA" sheetId="1" r:id="rId1"/>
    <sheet name="INSTRUCTIONS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3" i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3" i="1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3" i="1"/>
  <c r="G36" i="1"/>
  <c r="G33" i="1"/>
  <c r="G34" i="1"/>
  <c r="G35" i="1"/>
  <c r="G37" i="1"/>
  <c r="G38" i="1"/>
  <c r="G39" i="1"/>
  <c r="G40" i="1"/>
  <c r="G41" i="1"/>
  <c r="G42" i="1"/>
  <c r="G43" i="1"/>
  <c r="G44" i="1"/>
  <c r="G32" i="1"/>
</calcChain>
</file>

<file path=xl/sharedStrings.xml><?xml version="1.0" encoding="utf-8"?>
<sst xmlns="http://schemas.openxmlformats.org/spreadsheetml/2006/main" count="94" uniqueCount="57">
  <si>
    <t>EMPLOYEE</t>
  </si>
  <si>
    <t>E_ID</t>
  </si>
  <si>
    <t>PAY PER HOUR</t>
  </si>
  <si>
    <t>HOURS WORKED</t>
  </si>
  <si>
    <t>EXPECTED WORK HOURS</t>
  </si>
  <si>
    <t>TOTAL</t>
  </si>
  <si>
    <t>EXTRA HOURS</t>
  </si>
  <si>
    <t>BONUS</t>
  </si>
  <si>
    <t>TAX</t>
  </si>
  <si>
    <t>GRAND TOTAL</t>
  </si>
  <si>
    <t>COMMENT</t>
  </si>
  <si>
    <t>PROFFESSION</t>
  </si>
  <si>
    <t>Emma</t>
  </si>
  <si>
    <t>Sophia</t>
  </si>
  <si>
    <t>Charlotte</t>
  </si>
  <si>
    <t>Evelyn</t>
  </si>
  <si>
    <t>Mia</t>
  </si>
  <si>
    <t>Ava</t>
  </si>
  <si>
    <t>Isabella</t>
  </si>
  <si>
    <t>Harper </t>
  </si>
  <si>
    <t xml:space="preserve"> Liam</t>
  </si>
  <si>
    <t>Noah</t>
  </si>
  <si>
    <t>Oliver</t>
  </si>
  <si>
    <t>James</t>
  </si>
  <si>
    <t>Elijah</t>
  </si>
  <si>
    <t>Mateo</t>
  </si>
  <si>
    <t>Lucas</t>
  </si>
  <si>
    <t>Henry</t>
  </si>
  <si>
    <t>Benjamin </t>
  </si>
  <si>
    <t>Christine</t>
  </si>
  <si>
    <t xml:space="preserve">GENDER </t>
  </si>
  <si>
    <t>Amelia</t>
  </si>
  <si>
    <t>Theodore</t>
  </si>
  <si>
    <t>A  list function with (Male,Female)</t>
  </si>
  <si>
    <t>A LIST FUNCTION WITH (Supervisor, Auditor, Accountant, HR, Secretary, Technician, Network Admin, I.T Officer, Cleaner, Cook, Security</t>
  </si>
  <si>
    <t>Pay per hour * Hours worked</t>
  </si>
  <si>
    <t>the difference between hours worked &amp; Expected working hours. Use if function to eliminate negatives. (extra hours is only shown if it is positive value. Otherwise is shows null)</t>
  </si>
  <si>
    <t>sum of bonus with total</t>
  </si>
  <si>
    <t>16% of Total2</t>
  </si>
  <si>
    <t>TOTAL2</t>
  </si>
  <si>
    <t>subtract tax from TOTAL2</t>
  </si>
  <si>
    <t>Hours worked</t>
  </si>
  <si>
    <t>comment</t>
  </si>
  <si>
    <t>1-5</t>
  </si>
  <si>
    <t>Try harder</t>
  </si>
  <si>
    <t>6-10</t>
  </si>
  <si>
    <t>You are closer</t>
  </si>
  <si>
    <t>11-15</t>
  </si>
  <si>
    <t xml:space="preserve">Noticable performance </t>
  </si>
  <si>
    <t>16++</t>
  </si>
  <si>
    <t>Good job</t>
  </si>
  <si>
    <t>CAPITAL ONE COMPANY LIMITED</t>
  </si>
  <si>
    <t>Use if to add 250 to the total if the extra hous exeed the expected work hours, elsse it should disply null.</t>
  </si>
  <si>
    <t>FEMALE</t>
  </si>
  <si>
    <t>NAMES</t>
  </si>
  <si>
    <t>SCORE</t>
  </si>
  <si>
    <t>500 (Absolute cell reference)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</si>
</sst>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Georgia"/>
      <family val="1"/>
    </font>
    <font>
      <b/>
      <sz val="12"/>
      <color theme="1"/>
      <name val="Georgia"/>
      <family val="1"/>
    </font>
    <font>
      <sz val="12"/>
      <color rgb="FF0A0A0A"/>
      <name val="Georgia"/>
      <family val="1"/>
    </font>
    <font>
      <b/>
      <u/>
      <sz val="22"/>
      <color rgb="FF0000CC"/>
      <name val="Georgia"/>
      <family val="1"/>
    </font>
    <font>
      <sz val="12"/>
      <color rgb="FF0A0A0A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7" fillId="0" borderId="0" xfId="0" applyFont="1"/>
    <xf numFmtId="0" fontId="8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7" fillId="2" borderId="0" xfId="0" applyFont="1" applyFill="1"/>
    <xf numFmtId="0" fontId="8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 indent="1"/>
    </xf>
    <xf numFmtId="0" fontId="6" fillId="3" borderId="0" xfId="0" applyFont="1" applyFill="1"/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7" fillId="9" borderId="0" xfId="0" applyFont="1" applyFill="1"/>
    <xf numFmtId="0" fontId="8" fillId="10" borderId="0" xfId="0" applyFont="1" applyFill="1" applyAlignment="1">
      <alignment horizontal="center" vertical="center" wrapText="1"/>
    </xf>
    <xf numFmtId="0" fontId="7" fillId="10" borderId="0" xfId="0" applyFont="1" applyFill="1"/>
    <xf numFmtId="0" fontId="8" fillId="11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center" vertical="center" wrapText="1"/>
    </xf>
    <xf numFmtId="0" fontId="8" fillId="14" borderId="0" xfId="0" applyFont="1" applyFill="1" applyAlignment="1">
      <alignment horizontal="center" vertical="center" wrapText="1"/>
    </xf>
    <xf numFmtId="0" fontId="8" fillId="15" borderId="0" xfId="0" applyFont="1" applyFill="1" applyAlignment="1">
      <alignment horizontal="center" vertical="center" wrapText="1"/>
    </xf>
    <xf numFmtId="0" fontId="8" fillId="13" borderId="1" xfId="0" applyFont="1" applyFill="1" applyBorder="1"/>
    <xf numFmtId="16" fontId="7" fillId="13" borderId="1" xfId="0" quotePrefix="1" applyNumberFormat="1" applyFont="1" applyFill="1" applyBorder="1"/>
    <xf numFmtId="0" fontId="7" fillId="13" borderId="1" xfId="0" applyFont="1" applyFill="1" applyBorder="1"/>
    <xf numFmtId="16" fontId="7" fillId="13" borderId="1" xfId="0" applyNumberFormat="1" applyFont="1" applyFill="1" applyBorder="1"/>
    <xf numFmtId="0" fontId="0" fillId="0" borderId="0" xfId="0" quotePrefix="1" applyAlignment="1">
      <alignment horizontal="right"/>
    </xf>
    <xf numFmtId="0" fontId="5" fillId="0" borderId="0" xfId="0" applyFont="1" applyAlignment="1">
      <alignment horizontal="center"/>
    </xf>
    <xf numFmtId="0" fontId="7" fillId="1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15" borderId="0" xfId="0" applyFont="1" applyFill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7" fillId="11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1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CC"/>
  </sheetPr>
  <dimension ref="A1:N44"/>
  <sheetViews>
    <sheetView tabSelected="1" topLeftCell="F1" zoomScale="130" zoomScaleNormal="130" workbookViewId="0">
      <selection activeCell="N8" sqref="N8"/>
    </sheetView>
  </sheetViews>
  <sheetFormatPr defaultRowHeight="15" x14ac:dyDescent="0.25"/>
  <cols>
    <col min="2" max="2" width="14.7109375" customWidth="1"/>
    <col min="3" max="3" width="12.42578125" customWidth="1"/>
    <col min="4" max="4" width="19.5703125" customWidth="1"/>
    <col min="5" max="5" width="11.5703125" customWidth="1"/>
    <col min="6" max="6" width="13.28515625" customWidth="1"/>
    <col min="7" max="7" width="14.42578125" customWidth="1"/>
    <col min="8" max="8" width="11.5703125" customWidth="1"/>
    <col min="9" max="9" width="10.7109375" customWidth="1"/>
    <col min="10" max="11" width="12.140625" customWidth="1"/>
    <col min="13" max="13" width="13.5703125" customWidth="1"/>
    <col min="14" max="14" width="26.28515625" bestFit="1" customWidth="1"/>
  </cols>
  <sheetData>
    <row r="1" spans="1:14" ht="27" x14ac:dyDescent="0.35">
      <c r="A1" s="1"/>
      <c r="B1" s="1"/>
      <c r="C1" s="33" t="s">
        <v>51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s="2" customFormat="1" ht="60" x14ac:dyDescent="0.25">
      <c r="A2" s="3" t="s">
        <v>1</v>
      </c>
      <c r="B2" s="3" t="s">
        <v>0</v>
      </c>
      <c r="C2" s="3" t="s">
        <v>30</v>
      </c>
      <c r="D2" s="3" t="s">
        <v>11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39</v>
      </c>
      <c r="L2" s="3" t="s">
        <v>8</v>
      </c>
      <c r="M2" s="3" t="s">
        <v>9</v>
      </c>
      <c r="N2" s="3" t="s">
        <v>10</v>
      </c>
    </row>
    <row r="3" spans="1:14" ht="15.75" x14ac:dyDescent="0.25">
      <c r="A3" s="4">
        <v>1</v>
      </c>
      <c r="B3" s="5" t="s">
        <v>12</v>
      </c>
      <c r="C3" s="6" t="s">
        <v>53</v>
      </c>
      <c r="D3" s="4"/>
      <c r="E3" s="4">
        <v>500</v>
      </c>
      <c r="F3" s="4">
        <v>12</v>
      </c>
      <c r="G3" s="4">
        <v>12</v>
      </c>
      <c r="H3" s="4">
        <f>PRODUCT($E$3,F3)</f>
        <v>6000</v>
      </c>
      <c r="I3" s="4" t="str">
        <f>IF(F3&gt;$G$3,SUM(F3,-$G$3),"")</f>
        <v/>
      </c>
      <c r="J3" s="4" t="str">
        <f>IF(F3&gt;$G$3,250,"")</f>
        <v/>
      </c>
      <c r="K3" s="4">
        <f>SUM(H3,J3)</f>
        <v>6000</v>
      </c>
      <c r="L3" s="4">
        <f>PRODUCT(K3,0.16)</f>
        <v>960</v>
      </c>
      <c r="M3" s="4">
        <f>SUM(K3-L3)</f>
        <v>5040</v>
      </c>
      <c r="N3" s="4" t="str">
        <f>IF(F3&gt;=16,"Good Job",IF(F3&gt;=11, "Noticeable Performance",IF(F3&gt;=6,"You are closer",IF(F3&gt;=1,"Try Harder"))))</f>
        <v>Noticeable Performance</v>
      </c>
    </row>
    <row r="4" spans="1:14" ht="15.75" x14ac:dyDescent="0.25">
      <c r="A4" s="4">
        <v>2</v>
      </c>
      <c r="B4" s="5" t="s">
        <v>31</v>
      </c>
      <c r="C4" s="6" t="s">
        <v>53</v>
      </c>
      <c r="D4" s="4"/>
      <c r="E4" s="4"/>
      <c r="F4" s="4">
        <v>10</v>
      </c>
      <c r="G4" s="4"/>
      <c r="H4" s="4">
        <f t="shared" ref="H4:H22" si="0">PRODUCT($E$3,F4)</f>
        <v>5000</v>
      </c>
      <c r="I4" s="4" t="str">
        <f t="shared" ref="I4:I22" si="1">IF(F4&gt;$G$3,SUM(F4,-$G$3),"")</f>
        <v/>
      </c>
      <c r="J4" s="4" t="str">
        <f t="shared" ref="J4:J22" si="2">IF(F4&gt;$G$3,250,"")</f>
        <v/>
      </c>
      <c r="K4" s="4">
        <f t="shared" ref="K4:K22" si="3">SUM(H4,J4)</f>
        <v>5000</v>
      </c>
      <c r="L4" s="4">
        <f t="shared" ref="L4:L22" si="4">PRODUCT(K4,0.16)</f>
        <v>800</v>
      </c>
      <c r="M4" s="4">
        <f t="shared" ref="M4:M22" si="5">SUM(K4-L4)</f>
        <v>4200</v>
      </c>
      <c r="N4" s="4" t="str">
        <f t="shared" ref="N4:N22" si="6">IF(F4&gt;=16,"Good Job",IF(F4&gt;=11, "Noticeable Performance",IF(F4&gt;=6,"You are closer",IF(F4&gt;=1,"Try Harder"))))</f>
        <v>You are closer</v>
      </c>
    </row>
    <row r="5" spans="1:14" ht="15.75" x14ac:dyDescent="0.25">
      <c r="A5" s="4">
        <v>3</v>
      </c>
      <c r="B5" s="7" t="s">
        <v>24</v>
      </c>
      <c r="C5" s="6"/>
      <c r="D5" s="4"/>
      <c r="E5" s="4"/>
      <c r="F5" s="4">
        <v>15</v>
      </c>
      <c r="G5" s="4"/>
      <c r="H5" s="4">
        <f t="shared" si="0"/>
        <v>7500</v>
      </c>
      <c r="I5" s="4">
        <f t="shared" si="1"/>
        <v>3</v>
      </c>
      <c r="J5" s="4">
        <f t="shared" si="2"/>
        <v>250</v>
      </c>
      <c r="K5" s="4">
        <f t="shared" si="3"/>
        <v>7750</v>
      </c>
      <c r="L5" s="4">
        <f t="shared" si="4"/>
        <v>1240</v>
      </c>
      <c r="M5" s="4">
        <f t="shared" si="5"/>
        <v>6510</v>
      </c>
      <c r="N5" s="4" t="str">
        <f t="shared" si="6"/>
        <v>Noticeable Performance</v>
      </c>
    </row>
    <row r="6" spans="1:14" ht="15.75" x14ac:dyDescent="0.25">
      <c r="A6" s="4">
        <v>4</v>
      </c>
      <c r="B6" s="5" t="s">
        <v>14</v>
      </c>
      <c r="C6" s="6"/>
      <c r="D6" s="4"/>
      <c r="E6" s="4"/>
      <c r="F6" s="4">
        <v>8</v>
      </c>
      <c r="G6" s="4"/>
      <c r="H6" s="4">
        <f t="shared" si="0"/>
        <v>4000</v>
      </c>
      <c r="I6" s="4" t="str">
        <f t="shared" si="1"/>
        <v/>
      </c>
      <c r="J6" s="4" t="str">
        <f t="shared" si="2"/>
        <v/>
      </c>
      <c r="K6" s="4">
        <f t="shared" si="3"/>
        <v>4000</v>
      </c>
      <c r="L6" s="4">
        <f t="shared" si="4"/>
        <v>640</v>
      </c>
      <c r="M6" s="4">
        <f t="shared" si="5"/>
        <v>3360</v>
      </c>
      <c r="N6" s="4" t="str">
        <f t="shared" si="6"/>
        <v>You are closer</v>
      </c>
    </row>
    <row r="7" spans="1:14" ht="15.75" x14ac:dyDescent="0.25">
      <c r="A7" s="4">
        <v>5</v>
      </c>
      <c r="B7" s="7" t="s">
        <v>25</v>
      </c>
      <c r="C7" s="6"/>
      <c r="D7" s="4"/>
      <c r="E7" s="4"/>
      <c r="F7" s="4">
        <v>7</v>
      </c>
      <c r="G7" s="4"/>
      <c r="H7" s="4">
        <f t="shared" si="0"/>
        <v>3500</v>
      </c>
      <c r="I7" s="4" t="str">
        <f t="shared" si="1"/>
        <v/>
      </c>
      <c r="J7" s="4" t="str">
        <f t="shared" si="2"/>
        <v/>
      </c>
      <c r="K7" s="4">
        <f t="shared" si="3"/>
        <v>3500</v>
      </c>
      <c r="L7" s="4">
        <f t="shared" si="4"/>
        <v>560</v>
      </c>
      <c r="M7" s="4">
        <f t="shared" si="5"/>
        <v>2940</v>
      </c>
      <c r="N7" s="4" t="str">
        <f t="shared" si="6"/>
        <v>You are closer</v>
      </c>
    </row>
    <row r="8" spans="1:14" ht="15.75" x14ac:dyDescent="0.25">
      <c r="A8" s="4">
        <v>6</v>
      </c>
      <c r="B8" s="7" t="s">
        <v>32</v>
      </c>
      <c r="C8" s="6"/>
      <c r="D8" s="4"/>
      <c r="E8" s="4"/>
      <c r="F8" s="4">
        <v>3</v>
      </c>
      <c r="G8" s="4"/>
      <c r="H8" s="4">
        <f t="shared" si="0"/>
        <v>1500</v>
      </c>
      <c r="I8" s="4" t="str">
        <f t="shared" si="1"/>
        <v/>
      </c>
      <c r="J8" s="4" t="str">
        <f t="shared" si="2"/>
        <v/>
      </c>
      <c r="K8" s="4">
        <f t="shared" si="3"/>
        <v>1500</v>
      </c>
      <c r="L8" s="4">
        <f t="shared" si="4"/>
        <v>240</v>
      </c>
      <c r="M8" s="4">
        <f t="shared" si="5"/>
        <v>1260</v>
      </c>
      <c r="N8" s="4" t="str">
        <f t="shared" si="6"/>
        <v>Try Harder</v>
      </c>
    </row>
    <row r="9" spans="1:14" ht="15.75" x14ac:dyDescent="0.25">
      <c r="A9" s="4">
        <v>7</v>
      </c>
      <c r="B9" s="7" t="s">
        <v>22</v>
      </c>
      <c r="C9" s="6"/>
      <c r="D9" s="4"/>
      <c r="E9" s="4"/>
      <c r="F9" s="4">
        <v>10</v>
      </c>
      <c r="G9" s="4"/>
      <c r="H9" s="4">
        <f t="shared" si="0"/>
        <v>5000</v>
      </c>
      <c r="I9" s="4" t="str">
        <f t="shared" si="1"/>
        <v/>
      </c>
      <c r="J9" s="4" t="str">
        <f t="shared" si="2"/>
        <v/>
      </c>
      <c r="K9" s="4">
        <f t="shared" si="3"/>
        <v>5000</v>
      </c>
      <c r="L9" s="4">
        <f t="shared" si="4"/>
        <v>800</v>
      </c>
      <c r="M9" s="4">
        <f t="shared" si="5"/>
        <v>4200</v>
      </c>
      <c r="N9" s="4" t="str">
        <f t="shared" si="6"/>
        <v>You are closer</v>
      </c>
    </row>
    <row r="10" spans="1:14" ht="15.75" x14ac:dyDescent="0.25">
      <c r="A10" s="4">
        <v>8</v>
      </c>
      <c r="B10" s="5" t="s">
        <v>18</v>
      </c>
      <c r="C10" s="6"/>
      <c r="D10" s="4"/>
      <c r="E10" s="4"/>
      <c r="F10" s="4">
        <v>12</v>
      </c>
      <c r="G10" s="4"/>
      <c r="H10" s="4">
        <f t="shared" si="0"/>
        <v>6000</v>
      </c>
      <c r="I10" s="4" t="str">
        <f t="shared" si="1"/>
        <v/>
      </c>
      <c r="J10" s="4" t="str">
        <f t="shared" si="2"/>
        <v/>
      </c>
      <c r="K10" s="4">
        <f t="shared" si="3"/>
        <v>6000</v>
      </c>
      <c r="L10" s="4">
        <f t="shared" si="4"/>
        <v>960</v>
      </c>
      <c r="M10" s="4">
        <f t="shared" si="5"/>
        <v>5040</v>
      </c>
      <c r="N10" s="4" t="str">
        <f t="shared" si="6"/>
        <v>Noticeable Performance</v>
      </c>
    </row>
    <row r="11" spans="1:14" ht="15.75" x14ac:dyDescent="0.25">
      <c r="A11" s="4">
        <v>9</v>
      </c>
      <c r="B11" s="7" t="s">
        <v>27</v>
      </c>
      <c r="C11" s="6"/>
      <c r="D11" s="4"/>
      <c r="E11" s="4"/>
      <c r="F11" s="4">
        <v>5</v>
      </c>
      <c r="G11" s="4"/>
      <c r="H11" s="4">
        <f t="shared" si="0"/>
        <v>2500</v>
      </c>
      <c r="I11" s="4" t="str">
        <f t="shared" si="1"/>
        <v/>
      </c>
      <c r="J11" s="4" t="str">
        <f t="shared" si="2"/>
        <v/>
      </c>
      <c r="K11" s="4">
        <f t="shared" si="3"/>
        <v>2500</v>
      </c>
      <c r="L11" s="4">
        <f t="shared" si="4"/>
        <v>400</v>
      </c>
      <c r="M11" s="4">
        <f t="shared" si="5"/>
        <v>2100</v>
      </c>
      <c r="N11" s="4" t="str">
        <f t="shared" si="6"/>
        <v>Try Harder</v>
      </c>
    </row>
    <row r="12" spans="1:14" ht="15.75" x14ac:dyDescent="0.25">
      <c r="A12" s="4">
        <v>10</v>
      </c>
      <c r="B12" s="7" t="s">
        <v>20</v>
      </c>
      <c r="C12" s="6"/>
      <c r="D12" s="4"/>
      <c r="E12" s="4"/>
      <c r="F12" s="4">
        <v>8</v>
      </c>
      <c r="G12" s="4"/>
      <c r="H12" s="4">
        <f t="shared" si="0"/>
        <v>4000</v>
      </c>
      <c r="I12" s="4" t="str">
        <f t="shared" si="1"/>
        <v/>
      </c>
      <c r="J12" s="4" t="str">
        <f t="shared" si="2"/>
        <v/>
      </c>
      <c r="K12" s="4">
        <f t="shared" si="3"/>
        <v>4000</v>
      </c>
      <c r="L12" s="4">
        <f t="shared" si="4"/>
        <v>640</v>
      </c>
      <c r="M12" s="4">
        <f t="shared" si="5"/>
        <v>3360</v>
      </c>
      <c r="N12" s="4" t="str">
        <f t="shared" si="6"/>
        <v>You are closer</v>
      </c>
    </row>
    <row r="13" spans="1:14" ht="15.75" x14ac:dyDescent="0.25">
      <c r="A13" s="4">
        <v>11</v>
      </c>
      <c r="B13" s="7" t="s">
        <v>21</v>
      </c>
      <c r="C13" s="6"/>
      <c r="D13" s="4"/>
      <c r="E13" s="4"/>
      <c r="F13" s="4">
        <v>12</v>
      </c>
      <c r="G13" s="4"/>
      <c r="H13" s="4">
        <f t="shared" si="0"/>
        <v>6000</v>
      </c>
      <c r="I13" s="4" t="str">
        <f t="shared" si="1"/>
        <v/>
      </c>
      <c r="J13" s="4" t="str">
        <f t="shared" si="2"/>
        <v/>
      </c>
      <c r="K13" s="4">
        <f t="shared" si="3"/>
        <v>6000</v>
      </c>
      <c r="L13" s="4">
        <f t="shared" si="4"/>
        <v>960</v>
      </c>
      <c r="M13" s="4">
        <f t="shared" si="5"/>
        <v>5040</v>
      </c>
      <c r="N13" s="4" t="str">
        <f t="shared" si="6"/>
        <v>Noticeable Performance</v>
      </c>
    </row>
    <row r="14" spans="1:14" ht="15.75" customHeight="1" x14ac:dyDescent="0.25">
      <c r="A14" s="4">
        <v>12</v>
      </c>
      <c r="B14" s="5" t="s">
        <v>17</v>
      </c>
      <c r="C14" s="6"/>
      <c r="D14" s="4"/>
      <c r="E14" s="4"/>
      <c r="F14" s="4">
        <v>6</v>
      </c>
      <c r="G14" s="4"/>
      <c r="H14" s="4">
        <f t="shared" si="0"/>
        <v>3000</v>
      </c>
      <c r="I14" s="4" t="str">
        <f t="shared" si="1"/>
        <v/>
      </c>
      <c r="J14" s="4" t="str">
        <f t="shared" si="2"/>
        <v/>
      </c>
      <c r="K14" s="4">
        <f t="shared" si="3"/>
        <v>3000</v>
      </c>
      <c r="L14" s="4">
        <f t="shared" si="4"/>
        <v>480</v>
      </c>
      <c r="M14" s="4">
        <f t="shared" si="5"/>
        <v>2520</v>
      </c>
      <c r="N14" s="4" t="str">
        <f t="shared" si="6"/>
        <v>You are closer</v>
      </c>
    </row>
    <row r="15" spans="1:14" ht="15.75" customHeight="1" x14ac:dyDescent="0.25">
      <c r="A15" s="4">
        <v>13</v>
      </c>
      <c r="B15" s="5" t="s">
        <v>15</v>
      </c>
      <c r="C15" s="6"/>
      <c r="D15" s="4"/>
      <c r="E15" s="4"/>
      <c r="F15" s="4">
        <v>18</v>
      </c>
      <c r="G15" s="4"/>
      <c r="H15" s="4">
        <f t="shared" si="0"/>
        <v>9000</v>
      </c>
      <c r="I15" s="4">
        <f t="shared" si="1"/>
        <v>6</v>
      </c>
      <c r="J15" s="4">
        <f t="shared" si="2"/>
        <v>250</v>
      </c>
      <c r="K15" s="4">
        <f t="shared" si="3"/>
        <v>9250</v>
      </c>
      <c r="L15" s="4">
        <f t="shared" si="4"/>
        <v>1480</v>
      </c>
      <c r="M15" s="4">
        <f t="shared" si="5"/>
        <v>7770</v>
      </c>
      <c r="N15" s="4" t="str">
        <f t="shared" si="6"/>
        <v>Good Job</v>
      </c>
    </row>
    <row r="16" spans="1:14" ht="15.75" x14ac:dyDescent="0.25">
      <c r="A16" s="4">
        <v>14</v>
      </c>
      <c r="B16" s="7" t="s">
        <v>23</v>
      </c>
      <c r="C16" s="6"/>
      <c r="D16" s="4"/>
      <c r="E16" s="4"/>
      <c r="F16" s="4">
        <v>16</v>
      </c>
      <c r="G16" s="4"/>
      <c r="H16" s="4">
        <f t="shared" si="0"/>
        <v>8000</v>
      </c>
      <c r="I16" s="4">
        <f t="shared" si="1"/>
        <v>4</v>
      </c>
      <c r="J16" s="4">
        <f t="shared" si="2"/>
        <v>250</v>
      </c>
      <c r="K16" s="4">
        <f t="shared" si="3"/>
        <v>8250</v>
      </c>
      <c r="L16" s="4">
        <f t="shared" si="4"/>
        <v>1320</v>
      </c>
      <c r="M16" s="4">
        <f t="shared" si="5"/>
        <v>6930</v>
      </c>
      <c r="N16" s="4" t="str">
        <f t="shared" si="6"/>
        <v>Good Job</v>
      </c>
    </row>
    <row r="17" spans="1:14" ht="15.75" customHeight="1" x14ac:dyDescent="0.25">
      <c r="A17" s="4">
        <v>15</v>
      </c>
      <c r="B17" s="5" t="s">
        <v>13</v>
      </c>
      <c r="C17" s="6"/>
      <c r="D17" s="4"/>
      <c r="E17" s="4"/>
      <c r="F17" s="4">
        <v>14</v>
      </c>
      <c r="G17" s="4"/>
      <c r="H17" s="4">
        <f t="shared" si="0"/>
        <v>7000</v>
      </c>
      <c r="I17" s="4">
        <f t="shared" si="1"/>
        <v>2</v>
      </c>
      <c r="J17" s="4">
        <f t="shared" si="2"/>
        <v>250</v>
      </c>
      <c r="K17" s="4">
        <f t="shared" si="3"/>
        <v>7250</v>
      </c>
      <c r="L17" s="4">
        <f t="shared" si="4"/>
        <v>1160</v>
      </c>
      <c r="M17" s="4">
        <f t="shared" si="5"/>
        <v>6090</v>
      </c>
      <c r="N17" s="4" t="str">
        <f t="shared" si="6"/>
        <v>Noticeable Performance</v>
      </c>
    </row>
    <row r="18" spans="1:14" ht="15.75" customHeight="1" x14ac:dyDescent="0.25">
      <c r="A18" s="4">
        <v>16</v>
      </c>
      <c r="B18" s="5" t="s">
        <v>16</v>
      </c>
      <c r="C18" s="6"/>
      <c r="D18" s="4"/>
      <c r="E18" s="4"/>
      <c r="F18" s="4">
        <v>16</v>
      </c>
      <c r="G18" s="4"/>
      <c r="H18" s="4">
        <f t="shared" si="0"/>
        <v>8000</v>
      </c>
      <c r="I18" s="4">
        <f t="shared" si="1"/>
        <v>4</v>
      </c>
      <c r="J18" s="4">
        <f t="shared" si="2"/>
        <v>250</v>
      </c>
      <c r="K18" s="4">
        <f t="shared" si="3"/>
        <v>8250</v>
      </c>
      <c r="L18" s="4">
        <f t="shared" si="4"/>
        <v>1320</v>
      </c>
      <c r="M18" s="4">
        <f t="shared" si="5"/>
        <v>6930</v>
      </c>
      <c r="N18" s="4" t="str">
        <f t="shared" si="6"/>
        <v>Good Job</v>
      </c>
    </row>
    <row r="19" spans="1:14" ht="15.75" x14ac:dyDescent="0.25">
      <c r="A19" s="4">
        <v>17</v>
      </c>
      <c r="B19" s="7" t="s">
        <v>26</v>
      </c>
      <c r="C19" s="6"/>
      <c r="D19" s="4"/>
      <c r="E19" s="4"/>
      <c r="F19" s="4">
        <v>14</v>
      </c>
      <c r="G19" s="4"/>
      <c r="H19" s="4">
        <f t="shared" si="0"/>
        <v>7000</v>
      </c>
      <c r="I19" s="4">
        <f t="shared" si="1"/>
        <v>2</v>
      </c>
      <c r="J19" s="4">
        <f t="shared" si="2"/>
        <v>250</v>
      </c>
      <c r="K19" s="4">
        <f t="shared" si="3"/>
        <v>7250</v>
      </c>
      <c r="L19" s="4">
        <f t="shared" si="4"/>
        <v>1160</v>
      </c>
      <c r="M19" s="4">
        <f t="shared" si="5"/>
        <v>6090</v>
      </c>
      <c r="N19" s="4" t="str">
        <f t="shared" si="6"/>
        <v>Noticeable Performance</v>
      </c>
    </row>
    <row r="20" spans="1:14" ht="15.75" customHeight="1" x14ac:dyDescent="0.25">
      <c r="A20" s="4">
        <v>18</v>
      </c>
      <c r="B20" s="5" t="s">
        <v>19</v>
      </c>
      <c r="C20" s="6"/>
      <c r="D20" s="4"/>
      <c r="E20" s="4"/>
      <c r="F20" s="4">
        <v>10</v>
      </c>
      <c r="G20" s="4"/>
      <c r="H20" s="4">
        <f t="shared" si="0"/>
        <v>5000</v>
      </c>
      <c r="I20" s="4" t="str">
        <f t="shared" si="1"/>
        <v/>
      </c>
      <c r="J20" s="4" t="str">
        <f t="shared" si="2"/>
        <v/>
      </c>
      <c r="K20" s="4">
        <f t="shared" si="3"/>
        <v>5000</v>
      </c>
      <c r="L20" s="4">
        <f t="shared" si="4"/>
        <v>800</v>
      </c>
      <c r="M20" s="4">
        <f t="shared" si="5"/>
        <v>4200</v>
      </c>
      <c r="N20" s="4" t="str">
        <f t="shared" si="6"/>
        <v>You are closer</v>
      </c>
    </row>
    <row r="21" spans="1:14" ht="15.75" x14ac:dyDescent="0.25">
      <c r="A21" s="4">
        <v>19</v>
      </c>
      <c r="B21" s="7" t="s">
        <v>28</v>
      </c>
      <c r="C21" s="6"/>
      <c r="D21" s="4"/>
      <c r="E21" s="4"/>
      <c r="F21" s="4">
        <v>9</v>
      </c>
      <c r="G21" s="4"/>
      <c r="H21" s="4">
        <f t="shared" si="0"/>
        <v>4500</v>
      </c>
      <c r="I21" s="4" t="str">
        <f t="shared" si="1"/>
        <v/>
      </c>
      <c r="J21" s="4" t="str">
        <f t="shared" si="2"/>
        <v/>
      </c>
      <c r="K21" s="4">
        <f t="shared" si="3"/>
        <v>4500</v>
      </c>
      <c r="L21" s="4">
        <f t="shared" si="4"/>
        <v>720</v>
      </c>
      <c r="M21" s="4">
        <f t="shared" si="5"/>
        <v>3780</v>
      </c>
      <c r="N21" s="4" t="str">
        <f t="shared" si="6"/>
        <v>You are closer</v>
      </c>
    </row>
    <row r="22" spans="1:14" ht="15.75" x14ac:dyDescent="0.25">
      <c r="A22" s="4">
        <v>20</v>
      </c>
      <c r="B22" s="7" t="s">
        <v>29</v>
      </c>
      <c r="C22" s="6"/>
      <c r="D22" s="4"/>
      <c r="E22" s="4"/>
      <c r="F22" s="4">
        <v>10</v>
      </c>
      <c r="G22" s="4"/>
      <c r="H22" s="4">
        <f t="shared" si="0"/>
        <v>5000</v>
      </c>
      <c r="I22" s="4" t="str">
        <f t="shared" si="1"/>
        <v/>
      </c>
      <c r="J22" s="4" t="str">
        <f t="shared" si="2"/>
        <v/>
      </c>
      <c r="K22" s="4">
        <f t="shared" si="3"/>
        <v>5000</v>
      </c>
      <c r="L22" s="4">
        <f t="shared" si="4"/>
        <v>800</v>
      </c>
      <c r="M22" s="4">
        <f t="shared" si="5"/>
        <v>4200</v>
      </c>
      <c r="N22" s="4" t="str">
        <f t="shared" si="6"/>
        <v>You are closer</v>
      </c>
    </row>
    <row r="31" spans="1:14" x14ac:dyDescent="0.25">
      <c r="D31" t="s">
        <v>54</v>
      </c>
      <c r="E31" t="s">
        <v>55</v>
      </c>
      <c r="F31" t="s">
        <v>7</v>
      </c>
      <c r="G31" t="s">
        <v>5</v>
      </c>
    </row>
    <row r="32" spans="1:14" x14ac:dyDescent="0.25">
      <c r="E32">
        <v>56</v>
      </c>
      <c r="F32">
        <v>20</v>
      </c>
      <c r="G32">
        <f>SUM(E32,$F$32)</f>
        <v>76</v>
      </c>
    </row>
    <row r="33" spans="5:10" x14ac:dyDescent="0.25">
      <c r="E33">
        <v>90</v>
      </c>
      <c r="G33">
        <f t="shared" ref="G33:G44" si="7">SUM(E33,$F$32)</f>
        <v>110</v>
      </c>
      <c r="J33" s="32"/>
    </row>
    <row r="34" spans="5:10" x14ac:dyDescent="0.25">
      <c r="E34">
        <v>88</v>
      </c>
      <c r="G34">
        <f t="shared" si="7"/>
        <v>108</v>
      </c>
    </row>
    <row r="35" spans="5:10" x14ac:dyDescent="0.25">
      <c r="E35">
        <v>34</v>
      </c>
      <c r="G35">
        <f t="shared" si="7"/>
        <v>54</v>
      </c>
    </row>
    <row r="36" spans="5:10" x14ac:dyDescent="0.25">
      <c r="E36">
        <v>29</v>
      </c>
      <c r="G36">
        <f>SUM(E36,$F$32)</f>
        <v>49</v>
      </c>
    </row>
    <row r="37" spans="5:10" x14ac:dyDescent="0.25">
      <c r="E37">
        <v>78</v>
      </c>
      <c r="G37">
        <f t="shared" si="7"/>
        <v>98</v>
      </c>
    </row>
    <row r="38" spans="5:10" x14ac:dyDescent="0.25">
      <c r="E38">
        <v>66</v>
      </c>
      <c r="G38">
        <f t="shared" si="7"/>
        <v>86</v>
      </c>
    </row>
    <row r="39" spans="5:10" x14ac:dyDescent="0.25">
      <c r="E39">
        <v>56</v>
      </c>
      <c r="G39">
        <f t="shared" si="7"/>
        <v>76</v>
      </c>
    </row>
    <row r="40" spans="5:10" x14ac:dyDescent="0.25">
      <c r="E40">
        <v>50</v>
      </c>
      <c r="G40">
        <f t="shared" si="7"/>
        <v>70</v>
      </c>
    </row>
    <row r="41" spans="5:10" x14ac:dyDescent="0.25">
      <c r="E41">
        <v>34</v>
      </c>
      <c r="G41">
        <f t="shared" si="7"/>
        <v>54</v>
      </c>
    </row>
    <row r="42" spans="5:10" x14ac:dyDescent="0.25">
      <c r="E42">
        <v>77</v>
      </c>
      <c r="G42">
        <f t="shared" si="7"/>
        <v>97</v>
      </c>
    </row>
    <row r="43" spans="5:10" x14ac:dyDescent="0.25">
      <c r="E43">
        <v>65</v>
      </c>
      <c r="G43">
        <f t="shared" si="7"/>
        <v>85</v>
      </c>
    </row>
    <row r="44" spans="5:10" x14ac:dyDescent="0.25">
      <c r="E44">
        <v>40</v>
      </c>
      <c r="G44">
        <f t="shared" si="7"/>
        <v>60</v>
      </c>
    </row>
  </sheetData>
  <mergeCells count="1">
    <mergeCell ref="C1:N1"/>
  </mergeCells>
  <dataValidations count="2">
    <dataValidation type="list" allowBlank="1" showInputMessage="1" showErrorMessage="1" sqref="C3:C22">
      <formula1>"MALE,FEMALE"</formula1>
    </dataValidation>
    <dataValidation type="list" allowBlank="1" showInputMessage="1" showErrorMessage="1" sqref="D3:D22">
      <formula1>"SUPERVISOR,AUDITOR,ACCOUNTANT,HR,SECRETARY,TECHNICIAN,NETWORK ADMIN,IT OFFICER, CLEANER,COOK,SECURITY"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21"/>
  <sheetViews>
    <sheetView topLeftCell="B1" workbookViewId="0">
      <selection activeCell="N5" sqref="N5:O5"/>
    </sheetView>
  </sheetViews>
  <sheetFormatPr defaultRowHeight="15.75" x14ac:dyDescent="0.25"/>
  <cols>
    <col min="1" max="1" width="9.140625" style="8"/>
    <col min="2" max="2" width="13.28515625" style="8" customWidth="1"/>
    <col min="3" max="3" width="14.140625" style="8" customWidth="1"/>
    <col min="4" max="4" width="18.42578125" style="8" customWidth="1"/>
    <col min="5" max="5" width="13" style="8" customWidth="1"/>
    <col min="6" max="6" width="11.42578125" style="8" customWidth="1"/>
    <col min="7" max="7" width="13.140625" style="8" customWidth="1"/>
    <col min="8" max="8" width="11.5703125" style="8" customWidth="1"/>
    <col min="9" max="10" width="14.5703125" style="8" customWidth="1"/>
    <col min="11" max="11" width="12.42578125" style="8" customWidth="1"/>
    <col min="12" max="12" width="9.140625" style="8"/>
    <col min="13" max="13" width="11.42578125" style="8" customWidth="1"/>
    <col min="14" max="14" width="14.5703125" style="8" bestFit="1" customWidth="1"/>
    <col min="15" max="15" width="21.85546875" style="8" bestFit="1" customWidth="1"/>
    <col min="16" max="16384" width="9.140625" style="8"/>
  </cols>
  <sheetData>
    <row r="1" spans="1:15" s="9" customFormat="1" ht="43.5" customHeight="1" x14ac:dyDescent="0.25">
      <c r="A1" s="10" t="s">
        <v>1</v>
      </c>
      <c r="B1" s="12" t="s">
        <v>0</v>
      </c>
      <c r="C1" s="15" t="s">
        <v>30</v>
      </c>
      <c r="D1" s="18" t="s">
        <v>11</v>
      </c>
      <c r="E1" s="19" t="s">
        <v>2</v>
      </c>
      <c r="F1" s="20" t="s">
        <v>3</v>
      </c>
      <c r="G1" s="22" t="s">
        <v>4</v>
      </c>
      <c r="H1" s="24" t="s">
        <v>5</v>
      </c>
      <c r="I1" s="17" t="s">
        <v>6</v>
      </c>
      <c r="J1" s="25" t="s">
        <v>7</v>
      </c>
      <c r="K1" s="26" t="s">
        <v>39</v>
      </c>
      <c r="L1" s="27" t="s">
        <v>8</v>
      </c>
      <c r="M1" s="16" t="s">
        <v>9</v>
      </c>
      <c r="N1" s="37" t="s">
        <v>10</v>
      </c>
      <c r="O1" s="37"/>
    </row>
    <row r="2" spans="1:15" ht="15.75" customHeight="1" x14ac:dyDescent="0.25">
      <c r="A2" s="11">
        <v>1</v>
      </c>
      <c r="B2" s="13" t="s">
        <v>12</v>
      </c>
      <c r="C2" s="38" t="s">
        <v>33</v>
      </c>
      <c r="D2" s="39" t="s">
        <v>34</v>
      </c>
      <c r="E2" s="40" t="s">
        <v>56</v>
      </c>
      <c r="F2" s="21">
        <v>12</v>
      </c>
      <c r="G2" s="23">
        <v>12</v>
      </c>
      <c r="H2" s="41" t="s">
        <v>35</v>
      </c>
      <c r="I2" s="42" t="s">
        <v>36</v>
      </c>
      <c r="J2" s="43" t="s">
        <v>52</v>
      </c>
      <c r="K2" s="34" t="s">
        <v>37</v>
      </c>
      <c r="L2" s="36" t="s">
        <v>38</v>
      </c>
      <c r="M2" s="35" t="s">
        <v>40</v>
      </c>
      <c r="N2" s="28" t="s">
        <v>41</v>
      </c>
      <c r="O2" s="28" t="s">
        <v>42</v>
      </c>
    </row>
    <row r="3" spans="1:15" x14ac:dyDescent="0.25">
      <c r="A3" s="11">
        <v>2</v>
      </c>
      <c r="B3" s="13" t="s">
        <v>31</v>
      </c>
      <c r="C3" s="38"/>
      <c r="D3" s="39"/>
      <c r="E3" s="40"/>
      <c r="F3" s="21">
        <v>10</v>
      </c>
      <c r="G3" s="23"/>
      <c r="H3" s="41"/>
      <c r="I3" s="42"/>
      <c r="J3" s="43"/>
      <c r="K3" s="34"/>
      <c r="L3" s="36"/>
      <c r="M3" s="35"/>
      <c r="N3" s="29" t="s">
        <v>43</v>
      </c>
      <c r="O3" s="30" t="s">
        <v>44</v>
      </c>
    </row>
    <row r="4" spans="1:15" x14ac:dyDescent="0.25">
      <c r="A4" s="11">
        <v>3</v>
      </c>
      <c r="B4" s="14" t="s">
        <v>24</v>
      </c>
      <c r="C4" s="38"/>
      <c r="D4" s="39"/>
      <c r="E4" s="40"/>
      <c r="F4" s="21">
        <v>15</v>
      </c>
      <c r="G4" s="23"/>
      <c r="H4" s="41"/>
      <c r="I4" s="42"/>
      <c r="J4" s="43"/>
      <c r="K4" s="34"/>
      <c r="L4" s="36"/>
      <c r="M4" s="35"/>
      <c r="N4" s="29" t="s">
        <v>45</v>
      </c>
      <c r="O4" s="30" t="s">
        <v>46</v>
      </c>
    </row>
    <row r="5" spans="1:15" x14ac:dyDescent="0.25">
      <c r="A5" s="11">
        <v>4</v>
      </c>
      <c r="B5" s="13" t="s">
        <v>14</v>
      </c>
      <c r="C5" s="38"/>
      <c r="D5" s="39"/>
      <c r="E5" s="40"/>
      <c r="F5" s="21">
        <v>8</v>
      </c>
      <c r="G5" s="23"/>
      <c r="H5" s="41"/>
      <c r="I5" s="42"/>
      <c r="J5" s="43"/>
      <c r="K5" s="34"/>
      <c r="L5" s="36"/>
      <c r="M5" s="35"/>
      <c r="N5" s="29" t="s">
        <v>47</v>
      </c>
      <c r="O5" s="30" t="s">
        <v>48</v>
      </c>
    </row>
    <row r="6" spans="1:15" x14ac:dyDescent="0.25">
      <c r="A6" s="11">
        <v>5</v>
      </c>
      <c r="B6" s="14" t="s">
        <v>25</v>
      </c>
      <c r="C6" s="38"/>
      <c r="D6" s="39"/>
      <c r="E6" s="40"/>
      <c r="F6" s="21">
        <v>7</v>
      </c>
      <c r="G6" s="23"/>
      <c r="H6" s="41"/>
      <c r="I6" s="42"/>
      <c r="J6" s="43"/>
      <c r="K6" s="34"/>
      <c r="L6" s="36"/>
      <c r="M6" s="35"/>
      <c r="N6" s="31" t="s">
        <v>49</v>
      </c>
      <c r="O6" s="30" t="s">
        <v>50</v>
      </c>
    </row>
    <row r="7" spans="1:15" x14ac:dyDescent="0.25">
      <c r="A7" s="11">
        <v>6</v>
      </c>
      <c r="B7" s="14" t="s">
        <v>32</v>
      </c>
      <c r="C7" s="38"/>
      <c r="D7" s="39"/>
      <c r="E7" s="40"/>
      <c r="F7" s="21">
        <v>3</v>
      </c>
      <c r="G7" s="23"/>
      <c r="H7" s="41"/>
      <c r="I7" s="42"/>
      <c r="J7" s="43"/>
      <c r="K7" s="34"/>
      <c r="L7" s="36"/>
      <c r="M7" s="35"/>
    </row>
    <row r="8" spans="1:15" x14ac:dyDescent="0.25">
      <c r="A8" s="11">
        <v>7</v>
      </c>
      <c r="B8" s="14" t="s">
        <v>22</v>
      </c>
      <c r="C8" s="38"/>
      <c r="D8" s="39"/>
      <c r="E8" s="40"/>
      <c r="F8" s="21">
        <v>10</v>
      </c>
      <c r="G8" s="23"/>
      <c r="H8" s="41"/>
      <c r="I8" s="42"/>
      <c r="J8" s="43"/>
      <c r="K8" s="34"/>
      <c r="L8" s="36"/>
      <c r="M8" s="35"/>
    </row>
    <row r="9" spans="1:15" x14ac:dyDescent="0.25">
      <c r="A9" s="11">
        <v>8</v>
      </c>
      <c r="B9" s="13" t="s">
        <v>18</v>
      </c>
      <c r="C9" s="38"/>
      <c r="D9" s="39"/>
      <c r="E9" s="40"/>
      <c r="F9" s="21">
        <v>12</v>
      </c>
      <c r="G9" s="23"/>
      <c r="H9" s="41"/>
      <c r="I9" s="42"/>
      <c r="J9" s="43"/>
      <c r="K9" s="34"/>
      <c r="L9" s="36"/>
      <c r="M9" s="35"/>
    </row>
    <row r="10" spans="1:15" x14ac:dyDescent="0.25">
      <c r="A10" s="11">
        <v>9</v>
      </c>
      <c r="B10" s="14" t="s">
        <v>27</v>
      </c>
      <c r="C10" s="38"/>
      <c r="D10" s="39"/>
      <c r="E10" s="40"/>
      <c r="F10" s="21">
        <v>5</v>
      </c>
      <c r="G10" s="23"/>
      <c r="H10" s="41"/>
      <c r="I10" s="42"/>
      <c r="J10" s="43"/>
      <c r="K10" s="34"/>
      <c r="L10" s="36"/>
      <c r="M10" s="35"/>
    </row>
    <row r="11" spans="1:15" x14ac:dyDescent="0.25">
      <c r="A11" s="11">
        <v>10</v>
      </c>
      <c r="B11" s="14" t="s">
        <v>20</v>
      </c>
      <c r="C11" s="38"/>
      <c r="D11" s="39"/>
      <c r="E11" s="40"/>
      <c r="F11" s="21">
        <v>8</v>
      </c>
      <c r="G11" s="23"/>
      <c r="H11" s="41"/>
      <c r="I11" s="42"/>
      <c r="J11" s="43"/>
      <c r="K11" s="34"/>
      <c r="L11" s="36"/>
      <c r="M11" s="35"/>
    </row>
    <row r="12" spans="1:15" x14ac:dyDescent="0.25">
      <c r="A12" s="11">
        <v>11</v>
      </c>
      <c r="B12" s="14" t="s">
        <v>21</v>
      </c>
      <c r="C12" s="38"/>
      <c r="D12" s="39"/>
      <c r="E12" s="40"/>
      <c r="F12" s="21">
        <v>12</v>
      </c>
      <c r="G12" s="23"/>
      <c r="H12" s="41"/>
      <c r="I12" s="42"/>
      <c r="J12" s="43"/>
      <c r="K12" s="34"/>
      <c r="L12" s="36"/>
      <c r="M12" s="35"/>
    </row>
    <row r="13" spans="1:15" ht="15.75" customHeight="1" x14ac:dyDescent="0.25">
      <c r="A13" s="11">
        <v>12</v>
      </c>
      <c r="B13" s="13" t="s">
        <v>17</v>
      </c>
      <c r="C13" s="38"/>
      <c r="D13" s="39"/>
      <c r="E13" s="40"/>
      <c r="F13" s="21">
        <v>6</v>
      </c>
      <c r="G13" s="23"/>
      <c r="H13" s="41"/>
      <c r="I13" s="42"/>
      <c r="J13" s="43"/>
      <c r="K13" s="34"/>
      <c r="L13" s="36"/>
      <c r="M13" s="35"/>
    </row>
    <row r="14" spans="1:15" ht="15.75" customHeight="1" x14ac:dyDescent="0.25">
      <c r="A14" s="11">
        <v>13</v>
      </c>
      <c r="B14" s="13" t="s">
        <v>15</v>
      </c>
      <c r="C14" s="38"/>
      <c r="D14" s="39"/>
      <c r="E14" s="40"/>
      <c r="F14" s="21">
        <v>18</v>
      </c>
      <c r="G14" s="23"/>
      <c r="H14" s="41"/>
      <c r="I14" s="42"/>
      <c r="J14" s="43"/>
      <c r="K14" s="34"/>
      <c r="L14" s="36"/>
      <c r="M14" s="35"/>
    </row>
    <row r="15" spans="1:15" x14ac:dyDescent="0.25">
      <c r="A15" s="11">
        <v>14</v>
      </c>
      <c r="B15" s="14" t="s">
        <v>23</v>
      </c>
      <c r="C15" s="38"/>
      <c r="D15" s="39"/>
      <c r="E15" s="40"/>
      <c r="F15" s="21">
        <v>16</v>
      </c>
      <c r="G15" s="23"/>
      <c r="H15" s="41"/>
      <c r="I15" s="42"/>
      <c r="J15" s="43"/>
      <c r="K15" s="34"/>
      <c r="L15" s="36"/>
      <c r="M15" s="35"/>
    </row>
    <row r="16" spans="1:15" ht="15.75" customHeight="1" x14ac:dyDescent="0.25">
      <c r="A16" s="11">
        <v>15</v>
      </c>
      <c r="B16" s="13" t="s">
        <v>13</v>
      </c>
      <c r="C16" s="38"/>
      <c r="D16" s="39"/>
      <c r="E16" s="40"/>
      <c r="F16" s="21">
        <v>14</v>
      </c>
      <c r="G16" s="23"/>
      <c r="H16" s="41"/>
      <c r="I16" s="42"/>
      <c r="J16" s="43"/>
      <c r="K16" s="34"/>
      <c r="L16" s="36"/>
      <c r="M16" s="35"/>
    </row>
    <row r="17" spans="1:13" ht="15.75" customHeight="1" x14ac:dyDescent="0.25">
      <c r="A17" s="11">
        <v>16</v>
      </c>
      <c r="B17" s="13" t="s">
        <v>16</v>
      </c>
      <c r="C17" s="38"/>
      <c r="D17" s="39"/>
      <c r="E17" s="40"/>
      <c r="F17" s="21">
        <v>16</v>
      </c>
      <c r="G17" s="23"/>
      <c r="H17" s="41"/>
      <c r="I17" s="42"/>
      <c r="J17" s="43"/>
      <c r="K17" s="34"/>
      <c r="L17" s="36"/>
      <c r="M17" s="35"/>
    </row>
    <row r="18" spans="1:13" x14ac:dyDescent="0.25">
      <c r="A18" s="11">
        <v>17</v>
      </c>
      <c r="B18" s="14" t="s">
        <v>26</v>
      </c>
      <c r="C18" s="38"/>
      <c r="D18" s="39"/>
      <c r="E18" s="40"/>
      <c r="F18" s="21">
        <v>14</v>
      </c>
      <c r="G18" s="23"/>
      <c r="H18" s="41"/>
      <c r="I18" s="42"/>
      <c r="J18" s="43"/>
      <c r="K18" s="34"/>
      <c r="L18" s="36"/>
      <c r="M18" s="35"/>
    </row>
    <row r="19" spans="1:13" ht="15.75" customHeight="1" x14ac:dyDescent="0.25">
      <c r="A19" s="11">
        <v>18</v>
      </c>
      <c r="B19" s="13" t="s">
        <v>19</v>
      </c>
      <c r="C19" s="38"/>
      <c r="D19" s="39"/>
      <c r="E19" s="40"/>
      <c r="F19" s="21">
        <v>10</v>
      </c>
      <c r="G19" s="23"/>
      <c r="H19" s="41"/>
      <c r="I19" s="42"/>
      <c r="J19" s="43"/>
      <c r="K19" s="34"/>
      <c r="L19" s="36"/>
      <c r="M19" s="35"/>
    </row>
    <row r="20" spans="1:13" x14ac:dyDescent="0.25">
      <c r="A20" s="11">
        <v>19</v>
      </c>
      <c r="B20" s="14" t="s">
        <v>28</v>
      </c>
      <c r="C20" s="38"/>
      <c r="D20" s="39"/>
      <c r="E20" s="40"/>
      <c r="F20" s="21">
        <v>9</v>
      </c>
      <c r="G20" s="23"/>
      <c r="H20" s="41"/>
      <c r="I20" s="42"/>
      <c r="J20" s="43"/>
      <c r="K20" s="34"/>
      <c r="L20" s="36"/>
      <c r="M20" s="35"/>
    </row>
    <row r="21" spans="1:13" x14ac:dyDescent="0.25">
      <c r="A21" s="11">
        <v>20</v>
      </c>
      <c r="B21" s="14" t="s">
        <v>29</v>
      </c>
      <c r="C21" s="38"/>
      <c r="D21" s="39"/>
      <c r="E21" s="40"/>
      <c r="F21" s="21">
        <v>10</v>
      </c>
      <c r="G21" s="23"/>
      <c r="H21" s="41"/>
      <c r="I21" s="42"/>
      <c r="J21" s="43"/>
      <c r="K21" s="34"/>
      <c r="L21" s="36"/>
      <c r="M21" s="35"/>
    </row>
  </sheetData>
  <mergeCells count="10">
    <mergeCell ref="K2:K21"/>
    <mergeCell ref="M2:M21"/>
    <mergeCell ref="L2:L21"/>
    <mergeCell ref="N1:O1"/>
    <mergeCell ref="C2:C21"/>
    <mergeCell ref="D2:D21"/>
    <mergeCell ref="E2:E21"/>
    <mergeCell ref="H2:H21"/>
    <mergeCell ref="I2:I21"/>
    <mergeCell ref="J2:J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RURALNET 2025</dc:creator>
  <cp:lastModifiedBy>RURALNET 2025</cp:lastModifiedBy>
  <dcterms:created xsi:type="dcterms:W3CDTF">2026-02-25T05:04:56Z</dcterms:created>
  <dcterms:modified xsi:type="dcterms:W3CDTF">2026-05-08T06:03:02Z</dcterms:modified>
</cp:coreProperties>
</file>