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ERVER\Github\ruralnet\ruralnet.co.ke\"/>
    </mc:Choice>
  </mc:AlternateContent>
  <bookViews>
    <workbookView xWindow="0" yWindow="0" windowWidth="17925" windowHeight="10215" firstSheet="7" activeTab="7"/>
  </bookViews>
  <sheets>
    <sheet name="Copyright" sheetId="5" state="hidden" r:id="rId1"/>
    <sheet name="Data" sheetId="10" r:id="rId2"/>
    <sheet name="AutoFit" sheetId="25" r:id="rId3"/>
    <sheet name="Remove Duplicates" sheetId="12" r:id="rId4"/>
    <sheet name="Trim Extra Spaces" sheetId="13" r:id="rId5"/>
    <sheet name="Eliminate Blank Cells" sheetId="14" r:id="rId6"/>
    <sheet name="Spell Check" sheetId="15" r:id="rId7"/>
    <sheet name="Data Validation" sheetId="18" r:id="rId8"/>
    <sheet name="Table" sheetId="19" r:id="rId9"/>
    <sheet name="IFERROR" sheetId="21" r:id="rId10"/>
    <sheet name="Number Format" sheetId="22" r:id="rId11"/>
    <sheet name="Find &amp; Replace" sheetId="23" r:id="rId12"/>
    <sheet name="More Resources" sheetId="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3" l="1"/>
  <c r="I11" i="13"/>
  <c r="I12" i="13"/>
  <c r="I13" i="13"/>
  <c r="I14" i="13"/>
  <c r="I19" i="13"/>
  <c r="I3" i="13"/>
  <c r="I15" i="13"/>
  <c r="I16" i="13"/>
  <c r="I17" i="13"/>
  <c r="I18" i="13"/>
  <c r="H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H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31" i="22" s="1"/>
  <c r="I31" i="21"/>
  <c r="H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H31" i="19"/>
  <c r="I4" i="13"/>
  <c r="I5" i="13"/>
  <c r="I6" i="13"/>
  <c r="I7" i="13"/>
  <c r="I8" i="13"/>
  <c r="I9" i="13"/>
  <c r="I20" i="13"/>
  <c r="I21" i="13"/>
  <c r="I22" i="13"/>
  <c r="I23" i="13"/>
  <c r="I24" i="13"/>
  <c r="I25" i="13"/>
  <c r="I26" i="13"/>
  <c r="I27" i="13"/>
  <c r="I28" i="13"/>
  <c r="I29" i="13"/>
  <c r="I30" i="13"/>
  <c r="I31" i="23" l="1"/>
</calcChain>
</file>

<file path=xl/sharedStrings.xml><?xml version="1.0" encoding="utf-8"?>
<sst xmlns="http://schemas.openxmlformats.org/spreadsheetml/2006/main" count="1476" uniqueCount="149">
  <si>
    <t>Copyright Notice</t>
  </si>
  <si>
    <t xml:space="preserve"> </t>
  </si>
  <si>
    <t>The content in this file was created by Mynda Treacy from My Online Training Hub.</t>
  </si>
  <si>
    <t>Individual users are permitted to recreate the examples for personal practice only.</t>
  </si>
  <si>
    <r>
      <t xml:space="preserve">Recreating the examples for training or demonstration to others is </t>
    </r>
    <r>
      <rPr>
        <b/>
        <sz val="14"/>
        <rFont val="Calibri"/>
        <family val="2"/>
        <scheme val="minor"/>
      </rPr>
      <t>not permitted</t>
    </r>
    <r>
      <rPr>
        <sz val="14"/>
        <rFont val="Calibri"/>
        <family val="2"/>
        <scheme val="minor"/>
      </rPr>
      <t>, unless written consent is granted by Mynda Treacy.</t>
    </r>
  </si>
  <si>
    <t>The workbook and any sheets within must be accompanied by the following copyright notice: My Online Training Hub ©.</t>
  </si>
  <si>
    <t>This sheet must remain in any file that uses this data and or these techniques.</t>
  </si>
  <si>
    <t>Any uses of this workbook and/or data must include the above attribution.</t>
  </si>
  <si>
    <t>Social Channels</t>
  </si>
  <si>
    <t>Dataset</t>
  </si>
  <si>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</si>
  <si>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</si>
  <si>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</si>
  <si>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</si>
  <si>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</si>
  <si>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</si>
  <si>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</si>
  <si>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</si>
  <si>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</si>
  <si>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</si>
  <si>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</si>
  <si>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</si>
  <si>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</si>
  <si>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</si>
  <si>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</si>
  <si>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</si>
  <si>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</si>
  <si>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</si>
  <si>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</si>
  <si>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</si>
  <si>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</si>
  <si>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</si>
  <si>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</si>
  <si>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</si>
  <si>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</si>
  <si>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</si>
  <si>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</si>
  <si>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</si>
  <si>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</si>
  <si>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</si>
  <si>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</si>
  <si>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</si>
  <si>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</si>
  <si>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</si>
  <si>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</si>
  <si>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</si>
  <si>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</si>
  <si>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</si>
  <si>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</si>
  <si>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</si>
  <si>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</si>
  <si>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</si>
  <si>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</si>
  <si>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</si>
  <si>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</si>
  <si>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</si>
  <si>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</si>
  <si>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</si>
  <si>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</si>
  <si>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</si>
  <si>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</si>
  <si>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</si>
  <si>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</si>
  <si>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</si>
  <si>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</si>
  <si>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</si>
  <si>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</si>
  <si>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</si>
  <si>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</si>
  <si>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</si>
  <si>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</si>
  <si>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</si>
  <si>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</si>
  <si>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</si>
  <si>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</si>
  <si>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</si>
  <si>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</si>
  <si>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</si>
  <si>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</si>
  <si>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</si>
  <si>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</si>
  <si>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</si>
  <si>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</si>
  <si>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</si>
  <si>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</si>
  <si>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</si>
  <si>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AutoFit Rows &amp; Columns</t>
  </si>
  <si>
    <t>Remove Duplicates</t>
  </si>
  <si>
    <t>Trim Extra Spaces</t>
  </si>
  <si>
    <t>Trimmed Name</t>
  </si>
  <si>
    <t>Eliminate Blank Cells</t>
  </si>
  <si>
    <t>John Smith</t>
  </si>
  <si>
    <t>Mike Tyson</t>
  </si>
  <si>
    <t>Anna Belle</t>
  </si>
  <si>
    <t>Peter Parker</t>
  </si>
  <si>
    <t>TBA</t>
  </si>
  <si>
    <t>Spell Check</t>
  </si>
  <si>
    <t>Excellent</t>
  </si>
  <si>
    <t>Data Validation</t>
  </si>
  <si>
    <t>Use Excel Tables</t>
  </si>
  <si>
    <t>Total</t>
  </si>
  <si>
    <t>Use IFERROR</t>
  </si>
  <si>
    <t>Sales</t>
  </si>
  <si>
    <t>Number Formats</t>
  </si>
  <si>
    <t>Find &amp; Replace</t>
  </si>
  <si>
    <t>More Resources</t>
  </si>
  <si>
    <t>Tutorials</t>
  </si>
  <si>
    <t>Excel Functions</t>
  </si>
  <si>
    <t>https://www.myonlinetraininghub.com/excel-functions</t>
  </si>
  <si>
    <t>Charting Blog Posts</t>
  </si>
  <si>
    <t>https://www.myonlinetraininghub.com/category/excel-charts</t>
  </si>
  <si>
    <t>Excel Dashboard Blog Posts</t>
  </si>
  <si>
    <t>https://www.myonlinetraininghub.com/category/excel-dashboard</t>
  </si>
  <si>
    <t>Webinar Replays</t>
  </si>
  <si>
    <t>Excel Dashboards &amp; Power BI</t>
  </si>
  <si>
    <t>https://www.myonlinetraininghub.com/excel-webinars</t>
  </si>
  <si>
    <t>Courses</t>
  </si>
  <si>
    <t>Advanced Excel</t>
  </si>
  <si>
    <t>https://www.myonlinetraininghub.com/excel-expert-upgrade</t>
  </si>
  <si>
    <t>Advanced Excel Formulas</t>
  </si>
  <si>
    <t>https://www.myonlinetraininghub.com/advanced-excel-formulas-course</t>
  </si>
  <si>
    <t>Power Query</t>
  </si>
  <si>
    <t>https://www.myonlinetraininghub.com/excel-power-query-course</t>
  </si>
  <si>
    <t>PivotTable Quick Start</t>
  </si>
  <si>
    <t>https://www.myonlinetraininghub.com/excel-pivottable-course-quick-start</t>
  </si>
  <si>
    <t>Xtreme PivotTables</t>
  </si>
  <si>
    <t>https://www.myonlinetraininghub.com/excel-pivottable-course</t>
  </si>
  <si>
    <t>Power Pivot</t>
  </si>
  <si>
    <t>https://www.myonlinetraininghub.com/power-pivot-course</t>
  </si>
  <si>
    <t>Excel Dashboards</t>
  </si>
  <si>
    <t>https://www.myonlinetraininghub.com/excel-dashboard-course</t>
  </si>
  <si>
    <t>Power BI</t>
  </si>
  <si>
    <t>https://www.myonlinetraininghub.com/power-bi-course</t>
  </si>
  <si>
    <t>Excel for Decision Making Under Uncertainty</t>
  </si>
  <si>
    <t>https://www.myonlinetraininghub.com/excel-for-decision-making-course</t>
  </si>
  <si>
    <t>Excel for Finance Professionals</t>
  </si>
  <si>
    <t>https://www.myonlinetraininghub.com/excel-for-finance-course</t>
  </si>
  <si>
    <t>Excel Analysis ToolPak</t>
  </si>
  <si>
    <t>https://www.myonlinetraininghub.com/excel-analysis-toolpak-course</t>
  </si>
  <si>
    <t>Excel for Customer Service Professionals</t>
  </si>
  <si>
    <t>https://www.myonlinetraininghub.com/excel-for-customer-service-professionals</t>
  </si>
  <si>
    <t>Excel for Operations Management</t>
  </si>
  <si>
    <t>https://www.myonlinetraininghub.com/excel-operations-management-course</t>
  </si>
  <si>
    <t>Financial Modelling</t>
  </si>
  <si>
    <t>https://www.myonlinetraininghub.com/financial-modelling-course</t>
  </si>
  <si>
    <t>Support</t>
  </si>
  <si>
    <t>Excel Forum</t>
  </si>
  <si>
    <t>https://www.myonlinetraininghub.com/excel-forum</t>
  </si>
  <si>
    <t>Follow Us or more Tips &amp; Tutorials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</si>
</sst>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4" formatCode="@*.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28"/>
      <color theme="0"/>
      <name val="Segoe U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 indent="1"/>
    </xf>
    <xf numFmtId="0" fontId="2" fillId="0" borderId="0" xfId="1"/>
    <xf numFmtId="0" fontId="4" fillId="0" borderId="0" xfId="0" applyFont="1"/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/>
    <xf numFmtId="0" fontId="7" fillId="0" borderId="0" xfId="0" applyFont="1" applyAlignment="1">
      <alignment horizontal="left" vertical="top"/>
    </xf>
    <xf numFmtId="22" fontId="8" fillId="0" borderId="0" xfId="0" applyNumberFormat="1" applyFont="1"/>
    <xf numFmtId="0" fontId="8" fillId="0" borderId="0" xfId="0" applyFont="1"/>
    <xf numFmtId="8" fontId="8" fillId="0" borderId="0" xfId="0" applyNumberFormat="1" applyFont="1"/>
    <xf numFmtId="0" fontId="7" fillId="0" borderId="0" xfId="0" applyFont="1"/>
    <xf numFmtId="0" fontId="9" fillId="0" borderId="0" xfId="0" applyFont="1" applyAlignment="1">
      <alignment vertical="top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top"/>
    </xf>
    <xf numFmtId="22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8" fontId="8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8" fontId="10" fillId="0" borderId="0" xfId="0" applyNumberFormat="1" applyFont="1" applyAlignment="1">
      <alignment vertical="top"/>
    </xf>
    <xf numFmtId="0" fontId="6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4" fontId="6" fillId="2" borderId="0" xfId="0" applyNumberFormat="1" applyFont="1" applyFill="1" applyAlignment="1">
      <alignment vertical="center"/>
    </xf>
    <xf numFmtId="4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vertical="top"/>
    </xf>
    <xf numFmtId="4" fontId="10" fillId="0" borderId="0" xfId="0" applyNumberFormat="1" applyFont="1" applyAlignment="1">
      <alignment vertical="top"/>
    </xf>
    <xf numFmtId="4" fontId="0" fillId="0" borderId="0" xfId="0" applyNumberFormat="1"/>
    <xf numFmtId="14" fontId="9" fillId="0" borderId="0" xfId="0" applyNumberFormat="1" applyFont="1" applyAlignment="1">
      <alignment horizontal="left" vertical="top"/>
    </xf>
    <xf numFmtId="14" fontId="6" fillId="2" borderId="0" xfId="0" applyNumberFormat="1" applyFont="1" applyFill="1" applyAlignment="1">
      <alignment horizontal="left" vertical="center"/>
    </xf>
    <xf numFmtId="14" fontId="8" fillId="0" borderId="0" xfId="0" applyNumberFormat="1" applyFont="1" applyAlignment="1">
      <alignment horizontal="left" vertical="top"/>
    </xf>
    <xf numFmtId="14" fontId="0" fillId="0" borderId="0" xfId="0" applyNumberFormat="1" applyAlignment="1">
      <alignment horizontal="left"/>
    </xf>
    <xf numFmtId="14" fontId="8" fillId="0" borderId="0" xfId="0" applyNumberFormat="1" applyFont="1"/>
    <xf numFmtId="14" fontId="0" fillId="0" borderId="0" xfId="0" applyNumberFormat="1"/>
    <xf numFmtId="14" fontId="8" fillId="0" borderId="0" xfId="0" applyNumberFormat="1" applyFont="1" applyAlignment="1">
      <alignment horizontal="right" vertical="top"/>
    </xf>
  </cellXfs>
  <cellStyles count="2">
    <cellStyle name="Hyperlink" xfId="1" builtinId="8"/>
    <cellStyle name="Normal" xfId="0" builtinId="0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7" formatCode="m/d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7" formatCode="m/d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6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 descr="YouTube Channel">
          <a:extLst>
            <a:ext uri="{FF2B5EF4-FFF2-40B4-BE49-F238E27FC236}">
              <a16:creationId xmlns:a16="http://schemas.microsoft.com/office/drawing/2014/main" id="{D3EAB3B2-8E9F-2873-E52B-CA50C6E4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4" name="Picture 3" descr="LinkedIn Profile">
          <a:extLst>
            <a:ext uri="{FF2B5EF4-FFF2-40B4-BE49-F238E27FC236}">
              <a16:creationId xmlns:a16="http://schemas.microsoft.com/office/drawing/2014/main" id="{BBC772A7-4575-1821-E4F7-0B92876BF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819149</xdr:colOff>
      <xdr:row>0</xdr:row>
      <xdr:rowOff>171449</xdr:rowOff>
    </xdr:from>
    <xdr:to>
      <xdr:col>5</xdr:col>
      <xdr:colOff>1057275</xdr:colOff>
      <xdr:row>0</xdr:row>
      <xdr:rowOff>409575</xdr:rowOff>
    </xdr:to>
    <xdr:pic>
      <xdr:nvPicPr>
        <xdr:cNvPr id="13" name="Graphic 12" descr="Document">
          <a:extLst>
            <a:ext uri="{FF2B5EF4-FFF2-40B4-BE49-F238E27FC236}">
              <a16:creationId xmlns:a16="http://schemas.microsoft.com/office/drawing/2014/main" id="{04E7341A-815A-8AE3-029B-E24DC087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4305299" y="171449"/>
          <a:ext cx="238126" cy="23812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2:H31" totalsRowCount="1" headerRowDxfId="80" dataDxfId="79">
  <autoFilter ref="A2:H30"/>
  <tableColumns count="8">
    <tableColumn id="1" name="Date" totalsRowLabel="Total" dataDxfId="78" totalsRowDxfId="77"/>
    <tableColumn id="2" name="ID" dataDxfId="76" totalsRowDxfId="75"/>
    <tableColumn id="3" name="Name" dataDxfId="74" totalsRowDxfId="73"/>
    <tableColumn id="4" name="Region" dataDxfId="72" totalsRowDxfId="71"/>
    <tableColumn id="5" name="Rating" dataDxfId="70" totalsRowDxfId="69"/>
    <tableColumn id="6" name="Product" dataDxfId="68" totalsRowDxfId="67"/>
    <tableColumn id="7" name="Quantity" dataDxfId="66" totalsRowDxfId="65"/>
    <tableColumn id="8" name="Price Per Unit" totalsRowFunction="max" dataDxfId="64" totalsRow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34" displayName="Table134" ref="A2:I31" totalsRowCount="1" headerRowDxfId="61" dataDxfId="60">
  <autoFilter ref="A2:I30"/>
  <tableColumns count="9">
    <tableColumn id="1" name="Date" totalsRowLabel="Total" dataDxfId="59" totalsRowDxfId="58"/>
    <tableColumn id="2" name="ID" dataDxfId="57" totalsRowDxfId="56"/>
    <tableColumn id="3" name="Name" dataDxfId="55" totalsRowDxfId="54"/>
    <tableColumn id="4" name="Region" dataDxfId="53" totalsRowDxfId="52"/>
    <tableColumn id="5" name="Rating" dataDxfId="51" totalsRowDxfId="50"/>
    <tableColumn id="6" name="Product" dataDxfId="49" totalsRowDxfId="48"/>
    <tableColumn id="7" name="Quantity" dataDxfId="47" totalsRowDxfId="46"/>
    <tableColumn id="8" name="Price Per Unit" totalsRowFunction="max" dataDxfId="45" totalsRowDxfId="44"/>
    <tableColumn id="9" name="Sales" totalsRowFunction="sum" dataDxfId="43" totalsRowDxfId="42">
      <calculatedColumnFormula>IFERROR( Table134[[#This Row],[Quantity]]*Table134[[#This Row],[Price Per Unit]],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1345" displayName="Table1345" ref="A2:I31" totalsRowCount="1" headerRowDxfId="40" dataDxfId="39">
  <autoFilter ref="A2:I30"/>
  <tableColumns count="9">
    <tableColumn id="1" name="Date" totalsRowLabel="Total" dataDxfId="38" totalsRowDxfId="37"/>
    <tableColumn id="2" name="ID" dataDxfId="36" totalsRowDxfId="35"/>
    <tableColumn id="3" name="Name" dataDxfId="34" totalsRowDxfId="33"/>
    <tableColumn id="4" name="Region" dataDxfId="32" totalsRowDxfId="31"/>
    <tableColumn id="5" name="Rating" dataDxfId="30" totalsRowDxfId="29"/>
    <tableColumn id="6" name="Product" dataDxfId="28" totalsRowDxfId="27"/>
    <tableColumn id="7" name="Quantity" dataDxfId="26" totalsRowDxfId="25"/>
    <tableColumn id="8" name="Price Per Unit" totalsRowFunction="max" dataDxfId="24" totalsRowDxfId="23"/>
    <tableColumn id="9" name="Sales" totalsRowFunction="sum" dataDxfId="22" totalsRowDxfId="21">
      <calculatedColumnFormula>IFERROR( Table1345[[#This Row],[Quantity]]*Table1345[[#This Row],[Price Per Unit]], 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13456" displayName="Table13456" ref="A2:I31" totalsRowCount="1" headerRowDxfId="19" dataDxfId="18">
  <autoFilter ref="A2:I30"/>
  <tableColumns count="9">
    <tableColumn id="1" name="Date" totalsRowLabel="Total" dataDxfId="17" totalsRowDxfId="16"/>
    <tableColumn id="2" name="ID" dataDxfId="15" totalsRowDxfId="14"/>
    <tableColumn id="3" name="Name" dataDxfId="13" totalsRowDxfId="12"/>
    <tableColumn id="4" name="Region" dataDxfId="11" totalsRowDxfId="10"/>
    <tableColumn id="5" name="Rating" dataDxfId="9" totalsRowDxfId="8"/>
    <tableColumn id="6" name="Product" dataDxfId="7" totalsRowDxfId="6"/>
    <tableColumn id="7" name="Quantity" dataDxfId="5" totalsRowDxfId="4"/>
    <tableColumn id="8" name="Price Per Unit" totalsRowFunction="max" dataDxfId="3" totalsRowDxfId="2"/>
    <tableColumn id="9" name="Sales" totalsRowFunction="sum" dataDxfId="1" totalsRowDxfId="0">
      <calculatedColumnFormula>IFERROR( Table13456[[#This Row],[Quantity]]*Table13456[[#This Row],[Price Per Unit]],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onlinetraininghub.com/excel-expert-upgrade" TargetMode="External"/><Relationship Id="rId13" Type="http://schemas.openxmlformats.org/officeDocument/2006/relationships/hyperlink" Target="https://www.myonlinetraininghub.com/power-pivot-course" TargetMode="External"/><Relationship Id="rId18" Type="http://schemas.openxmlformats.org/officeDocument/2006/relationships/hyperlink" Target="https://www.myonlinetraininghub.com/excel-operations-management-course" TargetMode="External"/><Relationship Id="rId3" Type="http://schemas.openxmlformats.org/officeDocument/2006/relationships/hyperlink" Target="https://www.myonlinetraininghub.com/power-bi-course" TargetMode="External"/><Relationship Id="rId7" Type="http://schemas.openxmlformats.org/officeDocument/2006/relationships/hyperlink" Target="https://www.myonlinetraininghub.com/excel-functions" TargetMode="External"/><Relationship Id="rId12" Type="http://schemas.openxmlformats.org/officeDocument/2006/relationships/hyperlink" Target="https://www.myonlinetraininghub.com/excel-pivottable-course" TargetMode="External"/><Relationship Id="rId17" Type="http://schemas.openxmlformats.org/officeDocument/2006/relationships/hyperlink" Target="https://www.myonlinetraininghub.com/excel-for-customer-service-professionals" TargetMode="External"/><Relationship Id="rId2" Type="http://schemas.openxmlformats.org/officeDocument/2006/relationships/hyperlink" Target="http://www.myonlinetraininghub.com/category/excel-dashboard" TargetMode="External"/><Relationship Id="rId16" Type="http://schemas.openxmlformats.org/officeDocument/2006/relationships/hyperlink" Target="https://www.myonlinetraininghub.com/excel-analysis-toolpak-course" TargetMode="External"/><Relationship Id="rId1" Type="http://schemas.openxmlformats.org/officeDocument/2006/relationships/hyperlink" Target="http://www.myonlinetraininghub.com/category/excel-charts" TargetMode="External"/><Relationship Id="rId6" Type="http://schemas.openxmlformats.org/officeDocument/2006/relationships/hyperlink" Target="https://www.myonlinetraininghub.com/excel-dashboard-course" TargetMode="External"/><Relationship Id="rId11" Type="http://schemas.openxmlformats.org/officeDocument/2006/relationships/hyperlink" Target="https://www.myonlinetraininghub.com/excel-pivottable-course-quick-start" TargetMode="External"/><Relationship Id="rId5" Type="http://schemas.openxmlformats.org/officeDocument/2006/relationships/hyperlink" Target="https://www.myonlinetraininghub.com/excel-forum" TargetMode="External"/><Relationship Id="rId15" Type="http://schemas.openxmlformats.org/officeDocument/2006/relationships/hyperlink" Target="https://www.myonlinetraininghub.com/excel-for-finance-course" TargetMode="External"/><Relationship Id="rId10" Type="http://schemas.openxmlformats.org/officeDocument/2006/relationships/hyperlink" Target="https://www.myonlinetraininghub.com/excel-power-query-course" TargetMode="External"/><Relationship Id="rId19" Type="http://schemas.openxmlformats.org/officeDocument/2006/relationships/hyperlink" Target="https://www.myonlinetraininghub.com/financial-modelling-course" TargetMode="External"/><Relationship Id="rId4" Type="http://schemas.openxmlformats.org/officeDocument/2006/relationships/hyperlink" Target="http://www.myonlinetraininghub.com/excel-webinars" TargetMode="External"/><Relationship Id="rId9" Type="http://schemas.openxmlformats.org/officeDocument/2006/relationships/hyperlink" Target="https://www.myonlinetraininghub.com/advanced-excel-formulas-course" TargetMode="External"/><Relationship Id="rId14" Type="http://schemas.openxmlformats.org/officeDocument/2006/relationships/hyperlink" Target="https://www.myonlinetraininghub.com/excel-for-decision-making-cour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showGridLines="0" showRowColHeaders="0" workbookViewId="0">
      <selection activeCell="B4" sqref="B4"/>
    </sheetView>
  </sheetViews>
  <sheetFormatPr defaultColWidth="0" defaultRowHeight="15" zeroHeight="1" x14ac:dyDescent="0.25"/>
  <cols>
    <col min="1" max="1" width="4.85546875" customWidth="1"/>
    <col min="2" max="17" width="9.140625" customWidth="1"/>
    <col min="18" max="16384" width="9.140625" hidden="1"/>
  </cols>
  <sheetData>
    <row r="1" spans="1:17" ht="52.5" customHeight="1" x14ac:dyDescent="0.25">
      <c r="A1" s="6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/>
    <row r="3" spans="1:17" ht="18.75" x14ac:dyDescent="0.3">
      <c r="B3" s="4" t="s">
        <v>1</v>
      </c>
    </row>
    <row r="4" spans="1:17" ht="18.75" x14ac:dyDescent="0.25">
      <c r="B4" s="5" t="s">
        <v>2</v>
      </c>
    </row>
    <row r="5" spans="1:17" ht="18.75" x14ac:dyDescent="0.25">
      <c r="B5" s="5" t="s">
        <v>3</v>
      </c>
    </row>
    <row r="6" spans="1:17" ht="18.75" x14ac:dyDescent="0.25">
      <c r="B6" s="5" t="s">
        <v>4</v>
      </c>
    </row>
    <row r="7" spans="1:17" ht="18.75" x14ac:dyDescent="0.25">
      <c r="B7" s="5"/>
    </row>
    <row r="8" spans="1:17" ht="18.75" x14ac:dyDescent="0.25">
      <c r="B8" s="5" t="s">
        <v>5</v>
      </c>
    </row>
    <row r="9" spans="1:17" x14ac:dyDescent="0.25"/>
    <row r="10" spans="1:17" ht="18.75" x14ac:dyDescent="0.25">
      <c r="B10" s="5" t="s">
        <v>6</v>
      </c>
    </row>
    <row r="11" spans="1:17" ht="18.75" x14ac:dyDescent="0.25">
      <c r="B11" s="5" t="s">
        <v>7</v>
      </c>
    </row>
    <row r="30" spans="2:2" hidden="1" x14ac:dyDescent="0.25">
      <c r="B30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/>
  </sheetViews>
  <sheetFormatPr defaultRowHeight="15" x14ac:dyDescent="0.25"/>
  <cols>
    <col min="1" max="1" width="24.85546875" bestFit="1" customWidth="1"/>
    <col min="2" max="2" width="3" bestFit="1" customWidth="1"/>
    <col min="3" max="3" width="17.5703125" bestFit="1" customWidth="1"/>
    <col min="4" max="4" width="7.140625" bestFit="1" customWidth="1"/>
    <col min="5" max="5" width="8.5703125" bestFit="1" customWidth="1"/>
    <col min="6" max="6" width="23.42578125" bestFit="1" customWidth="1"/>
    <col min="7" max="7" width="8.7109375" bestFit="1" customWidth="1"/>
    <col min="8" max="8" width="13.28515625" bestFit="1" customWidth="1"/>
  </cols>
  <sheetData>
    <row r="1" spans="1:16" s="7" customFormat="1" ht="48.75" customHeight="1" x14ac:dyDescent="0.3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6" ht="9.9499999999999993" customHeight="1" x14ac:dyDescent="0.25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6" ht="9.9499999999999993" customHeight="1" x14ac:dyDescent="0.25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6" ht="9.9499999999999993" customHeight="1" x14ac:dyDescent="0.25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6" ht="9.9499999999999993" customHeight="1" x14ac:dyDescent="0.25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6" x14ac:dyDescent="0.25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6" x14ac:dyDescent="0.25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</row>
    <row r="9" spans="1:16" x14ac:dyDescent="0.25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6" x14ac:dyDescent="0.25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6" x14ac:dyDescent="0.25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6" ht="9.9499999999999993" customHeight="1" x14ac:dyDescent="0.25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6" ht="9.9499999999999993" customHeight="1" x14ac:dyDescent="0.25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6" ht="9.9499999999999993" customHeight="1" x14ac:dyDescent="0.25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6" ht="20.100000000000001" customHeight="1" x14ac:dyDescent="0.25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6" ht="20.100000000000001" customHeight="1" x14ac:dyDescent="0.25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</row>
    <row r="17" spans="1:8" ht="20.100000000000001" customHeight="1" x14ac:dyDescent="0.25">
      <c r="A17" s="9">
        <v>44316</v>
      </c>
      <c r="B17" s="10">
        <v>4</v>
      </c>
      <c r="C17" s="10" t="s">
        <v>31</v>
      </c>
      <c r="D17" s="10" t="s">
        <v>32</v>
      </c>
      <c r="E17" s="10" t="s">
        <v>33</v>
      </c>
      <c r="F17" s="10" t="s">
        <v>34</v>
      </c>
      <c r="G17" s="10">
        <v>25</v>
      </c>
      <c r="H17" s="11">
        <v>10</v>
      </c>
    </row>
    <row r="18" spans="1:8" ht="20.100000000000001" customHeight="1" x14ac:dyDescent="0.25">
      <c r="A18" s="9">
        <v>44347</v>
      </c>
      <c r="B18" s="10">
        <v>5</v>
      </c>
      <c r="C18" s="10" t="s">
        <v>35</v>
      </c>
      <c r="D18" s="10" t="s">
        <v>23</v>
      </c>
      <c r="E18" s="10" t="s">
        <v>20</v>
      </c>
      <c r="F18" s="10" t="s">
        <v>36</v>
      </c>
      <c r="G18" s="10">
        <v>30</v>
      </c>
      <c r="H18" s="11">
        <v>16.670000000000002</v>
      </c>
    </row>
    <row r="19" spans="1:8" ht="20.100000000000001" customHeight="1" x14ac:dyDescent="0.25">
      <c r="A19" s="9">
        <v>44377</v>
      </c>
      <c r="B19" s="10">
        <v>6</v>
      </c>
      <c r="C19" s="10" t="s">
        <v>37</v>
      </c>
      <c r="D19" s="10"/>
      <c r="E19" s="10" t="s">
        <v>24</v>
      </c>
      <c r="F19" s="10" t="s">
        <v>38</v>
      </c>
      <c r="G19" s="10">
        <v>0</v>
      </c>
      <c r="H19" s="10" t="s">
        <v>30</v>
      </c>
    </row>
    <row r="20" spans="1:8" ht="20.100000000000001" customHeight="1" x14ac:dyDescent="0.25">
      <c r="A20" s="9">
        <v>44651</v>
      </c>
      <c r="B20" s="10">
        <v>15</v>
      </c>
      <c r="C20" s="10" t="s">
        <v>55</v>
      </c>
      <c r="D20" s="10" t="s">
        <v>27</v>
      </c>
      <c r="E20" s="10" t="s">
        <v>28</v>
      </c>
      <c r="F20" s="10" t="s">
        <v>56</v>
      </c>
      <c r="G20" s="10">
        <v>35</v>
      </c>
      <c r="H20" s="11">
        <v>34.29</v>
      </c>
    </row>
    <row r="21" spans="1:8" ht="20.100000000000001" customHeight="1" x14ac:dyDescent="0.25">
      <c r="A21" s="9">
        <v>44681</v>
      </c>
      <c r="B21" s="10">
        <v>16</v>
      </c>
      <c r="C21" s="10" t="s">
        <v>57</v>
      </c>
      <c r="D21" s="10"/>
      <c r="E21" s="10" t="s">
        <v>33</v>
      </c>
      <c r="F21" s="10" t="s">
        <v>58</v>
      </c>
      <c r="G21" s="10">
        <v>0</v>
      </c>
      <c r="H21" s="10" t="s">
        <v>30</v>
      </c>
    </row>
    <row r="22" spans="1:8" ht="20.100000000000001" customHeight="1" x14ac:dyDescent="0.25">
      <c r="A22" s="9">
        <v>44712</v>
      </c>
      <c r="B22" s="10">
        <v>17</v>
      </c>
      <c r="C22" s="10" t="s">
        <v>59</v>
      </c>
      <c r="D22" s="10" t="s">
        <v>23</v>
      </c>
      <c r="E22" s="10" t="s">
        <v>20</v>
      </c>
      <c r="F22" s="10" t="s">
        <v>60</v>
      </c>
      <c r="G22" s="10">
        <v>40</v>
      </c>
      <c r="H22" s="11">
        <v>35</v>
      </c>
    </row>
    <row r="23" spans="1:8" ht="20.100000000000001" customHeight="1" x14ac:dyDescent="0.25">
      <c r="A23" s="9">
        <v>44742</v>
      </c>
      <c r="B23" s="10">
        <v>18</v>
      </c>
      <c r="C23" s="10" t="s">
        <v>61</v>
      </c>
      <c r="D23" s="10" t="s">
        <v>19</v>
      </c>
      <c r="E23" s="10" t="s">
        <v>24</v>
      </c>
      <c r="F23" s="10" t="s">
        <v>62</v>
      </c>
      <c r="G23" s="10">
        <v>45</v>
      </c>
      <c r="H23" s="11">
        <v>33.33</v>
      </c>
    </row>
    <row r="24" spans="1:8" ht="20.100000000000001" customHeight="1" x14ac:dyDescent="0.25">
      <c r="A24" s="9">
        <v>44773</v>
      </c>
      <c r="B24" s="10">
        <v>19</v>
      </c>
      <c r="C24" s="10" t="s">
        <v>63</v>
      </c>
      <c r="D24" s="10" t="s">
        <v>27</v>
      </c>
      <c r="E24" s="10" t="s">
        <v>28</v>
      </c>
      <c r="F24" s="10" t="s">
        <v>64</v>
      </c>
      <c r="G24" s="10">
        <v>50</v>
      </c>
      <c r="H24" s="11">
        <v>32</v>
      </c>
    </row>
    <row r="25" spans="1:8" ht="20.100000000000001" customHeight="1" x14ac:dyDescent="0.25">
      <c r="A25" s="9">
        <v>44804</v>
      </c>
      <c r="B25" s="10">
        <v>20</v>
      </c>
      <c r="C25" s="10" t="s">
        <v>65</v>
      </c>
      <c r="D25" s="10" t="s">
        <v>32</v>
      </c>
      <c r="E25" s="10" t="s">
        <v>33</v>
      </c>
      <c r="F25" s="10" t="s">
        <v>66</v>
      </c>
      <c r="G25" s="10">
        <v>55</v>
      </c>
      <c r="H25" s="11">
        <v>30.91</v>
      </c>
    </row>
    <row r="26" spans="1:8" ht="20.100000000000001" customHeight="1" x14ac:dyDescent="0.25">
      <c r="A26" s="9">
        <v>44834</v>
      </c>
      <c r="B26" s="10">
        <v>21</v>
      </c>
      <c r="C26" s="10" t="s">
        <v>67</v>
      </c>
      <c r="D26" s="10" t="s">
        <v>23</v>
      </c>
      <c r="E26" s="10" t="s">
        <v>20</v>
      </c>
      <c r="F26" s="10" t="s">
        <v>68</v>
      </c>
      <c r="G26" s="10">
        <v>60</v>
      </c>
      <c r="H26" s="11">
        <v>30</v>
      </c>
    </row>
    <row r="27" spans="1:8" ht="20.100000000000001" customHeight="1" x14ac:dyDescent="0.25">
      <c r="A27" s="9">
        <v>44865</v>
      </c>
      <c r="B27" s="10">
        <v>22</v>
      </c>
      <c r="C27" s="10" t="s">
        <v>69</v>
      </c>
      <c r="D27" s="10" t="s">
        <v>19</v>
      </c>
      <c r="E27" s="10" t="s">
        <v>24</v>
      </c>
      <c r="F27" s="10" t="s">
        <v>70</v>
      </c>
      <c r="G27" s="10">
        <v>0</v>
      </c>
      <c r="H27" s="10" t="s">
        <v>30</v>
      </c>
    </row>
    <row r="28" spans="1:8" ht="20.100000000000001" customHeight="1" x14ac:dyDescent="0.25">
      <c r="A28" s="9">
        <v>44895</v>
      </c>
      <c r="B28" s="10">
        <v>23</v>
      </c>
      <c r="C28" s="10" t="s">
        <v>71</v>
      </c>
      <c r="D28" s="10" t="s">
        <v>27</v>
      </c>
      <c r="E28" s="10" t="s">
        <v>28</v>
      </c>
      <c r="F28" s="10" t="s">
        <v>72</v>
      </c>
      <c r="G28" s="10">
        <v>65</v>
      </c>
      <c r="H28" s="11">
        <v>30.77</v>
      </c>
    </row>
    <row r="29" spans="1:8" ht="20.100000000000001" customHeight="1" x14ac:dyDescent="0.25">
      <c r="A29" s="9">
        <v>44926</v>
      </c>
      <c r="B29" s="10">
        <v>24</v>
      </c>
      <c r="C29" s="10" t="s">
        <v>73</v>
      </c>
      <c r="D29" s="10" t="s">
        <v>32</v>
      </c>
      <c r="E29" s="10" t="s">
        <v>33</v>
      </c>
      <c r="F29" s="10" t="s">
        <v>74</v>
      </c>
      <c r="G29" s="10">
        <v>70</v>
      </c>
      <c r="H29" s="11">
        <v>30</v>
      </c>
    </row>
    <row r="30" spans="1:8" ht="20.100000000000001" customHeight="1" x14ac:dyDescent="0.25">
      <c r="A30" s="9">
        <v>44957</v>
      </c>
      <c r="B30" s="10">
        <v>25</v>
      </c>
      <c r="C30" s="10" t="s">
        <v>75</v>
      </c>
      <c r="D30" s="10" t="s">
        <v>76</v>
      </c>
      <c r="E30" s="10" t="s">
        <v>77</v>
      </c>
      <c r="F30" s="10" t="s">
        <v>78</v>
      </c>
      <c r="G30" s="10">
        <v>75</v>
      </c>
      <c r="H30" s="11">
        <v>29.33</v>
      </c>
    </row>
    <row r="31" spans="1:8" ht="20.100000000000001" customHeight="1" x14ac:dyDescent="0.25">
      <c r="A31" s="9">
        <v>44985</v>
      </c>
      <c r="B31" s="10">
        <v>26</v>
      </c>
      <c r="C31" s="10" t="s">
        <v>79</v>
      </c>
      <c r="D31" s="10" t="s">
        <v>76</v>
      </c>
      <c r="E31" s="10" t="s">
        <v>80</v>
      </c>
      <c r="F31" s="10" t="s">
        <v>81</v>
      </c>
      <c r="G31" s="10">
        <v>80</v>
      </c>
      <c r="H31" s="11">
        <v>28.75</v>
      </c>
    </row>
    <row r="32" spans="1:8" ht="20.100000000000001" customHeight="1" x14ac:dyDescent="0.25">
      <c r="A32" s="9">
        <v>45016</v>
      </c>
      <c r="B32" s="10">
        <v>27</v>
      </c>
      <c r="C32" s="10" t="s">
        <v>51</v>
      </c>
      <c r="D32" s="10" t="s">
        <v>23</v>
      </c>
      <c r="E32" s="10" t="s">
        <v>82</v>
      </c>
      <c r="F32" s="10" t="s">
        <v>83</v>
      </c>
      <c r="G32" s="10">
        <v>0</v>
      </c>
      <c r="H32" s="10" t="s">
        <v>30</v>
      </c>
    </row>
    <row r="33" spans="1:8" ht="20.100000000000001" customHeight="1" x14ac:dyDescent="0.25">
      <c r="A33" s="9">
        <v>45046</v>
      </c>
      <c r="B33" s="10">
        <v>28</v>
      </c>
      <c r="C33" s="10" t="s">
        <v>49</v>
      </c>
      <c r="D33" s="10" t="s">
        <v>32</v>
      </c>
      <c r="E33" s="10" t="s">
        <v>84</v>
      </c>
      <c r="F33" s="10" t="s">
        <v>85</v>
      </c>
      <c r="G33" s="10">
        <v>85</v>
      </c>
      <c r="H33" s="11">
        <v>29.41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H5" sqref="H5"/>
    </sheetView>
  </sheetViews>
  <sheetFormatPr defaultRowHeight="15" x14ac:dyDescent="0.25"/>
  <cols>
    <col min="1" max="1" width="15" customWidth="1"/>
    <col min="2" max="2" width="3" bestFit="1" customWidth="1"/>
    <col min="3" max="3" width="17.5703125" bestFit="1" customWidth="1"/>
    <col min="4" max="4" width="7.140625" bestFit="1" customWidth="1"/>
    <col min="5" max="5" width="8.5703125" bestFit="1" customWidth="1"/>
    <col min="6" max="6" width="23.42578125" bestFit="1" customWidth="1"/>
    <col min="7" max="7" width="8.7109375" bestFit="1" customWidth="1"/>
    <col min="8" max="8" width="13.28515625" bestFit="1" customWidth="1"/>
  </cols>
  <sheetData>
    <row r="1" spans="1:16" s="7" customFormat="1" ht="45.75" customHeight="1" x14ac:dyDescent="0.3">
      <c r="A1" s="6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6" x14ac:dyDescent="0.25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6" x14ac:dyDescent="0.25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6" x14ac:dyDescent="0.25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6" x14ac:dyDescent="0.25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6" x14ac:dyDescent="0.25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6" x14ac:dyDescent="0.25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</row>
    <row r="9" spans="1:16" x14ac:dyDescent="0.25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6" x14ac:dyDescent="0.25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6" x14ac:dyDescent="0.25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6" x14ac:dyDescent="0.25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6" x14ac:dyDescent="0.25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6" x14ac:dyDescent="0.25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6" x14ac:dyDescent="0.25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6" x14ac:dyDescent="0.25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</row>
    <row r="17" spans="1:8" x14ac:dyDescent="0.25">
      <c r="A17" s="9">
        <v>44316</v>
      </c>
      <c r="B17" s="10">
        <v>4</v>
      </c>
      <c r="C17" s="10" t="s">
        <v>31</v>
      </c>
      <c r="D17" s="10" t="s">
        <v>32</v>
      </c>
      <c r="E17" s="10" t="s">
        <v>33</v>
      </c>
      <c r="F17" s="10" t="s">
        <v>34</v>
      </c>
      <c r="G17" s="10">
        <v>25</v>
      </c>
      <c r="H17" s="11">
        <v>10</v>
      </c>
    </row>
    <row r="18" spans="1:8" x14ac:dyDescent="0.25">
      <c r="A18" s="9">
        <v>44347</v>
      </c>
      <c r="B18" s="10">
        <v>5</v>
      </c>
      <c r="C18" s="10" t="s">
        <v>35</v>
      </c>
      <c r="D18" s="10" t="s">
        <v>23</v>
      </c>
      <c r="E18" s="10" t="s">
        <v>20</v>
      </c>
      <c r="F18" s="10" t="s">
        <v>36</v>
      </c>
      <c r="G18" s="10">
        <v>30</v>
      </c>
      <c r="H18" s="11">
        <v>16.670000000000002</v>
      </c>
    </row>
    <row r="19" spans="1:8" x14ac:dyDescent="0.25">
      <c r="A19" s="9">
        <v>44377</v>
      </c>
      <c r="B19" s="10">
        <v>6</v>
      </c>
      <c r="C19" s="10" t="s">
        <v>37</v>
      </c>
      <c r="D19" s="10"/>
      <c r="E19" s="10" t="s">
        <v>24</v>
      </c>
      <c r="F19" s="10" t="s">
        <v>38</v>
      </c>
      <c r="G19" s="10">
        <v>0</v>
      </c>
      <c r="H19" s="10" t="s">
        <v>30</v>
      </c>
    </row>
    <row r="20" spans="1:8" x14ac:dyDescent="0.25">
      <c r="A20" s="9">
        <v>44651</v>
      </c>
      <c r="B20" s="10">
        <v>15</v>
      </c>
      <c r="C20" s="10" t="s">
        <v>55</v>
      </c>
      <c r="D20" s="10" t="s">
        <v>27</v>
      </c>
      <c r="E20" s="10" t="s">
        <v>28</v>
      </c>
      <c r="F20" s="10" t="s">
        <v>56</v>
      </c>
      <c r="G20" s="10">
        <v>35</v>
      </c>
      <c r="H20" s="11">
        <v>34.29</v>
      </c>
    </row>
    <row r="21" spans="1:8" x14ac:dyDescent="0.25">
      <c r="A21" s="9">
        <v>44681</v>
      </c>
      <c r="B21" s="10">
        <v>16</v>
      </c>
      <c r="C21" s="10" t="s">
        <v>57</v>
      </c>
      <c r="D21" s="10"/>
      <c r="E21" s="10" t="s">
        <v>33</v>
      </c>
      <c r="F21" s="10" t="s">
        <v>58</v>
      </c>
      <c r="G21" s="10">
        <v>0</v>
      </c>
      <c r="H21" s="10" t="s">
        <v>30</v>
      </c>
    </row>
    <row r="22" spans="1:8" x14ac:dyDescent="0.25">
      <c r="A22" s="9">
        <v>44712</v>
      </c>
      <c r="B22" s="10">
        <v>17</v>
      </c>
      <c r="C22" s="10" t="s">
        <v>59</v>
      </c>
      <c r="D22" s="10" t="s">
        <v>23</v>
      </c>
      <c r="E22" s="10" t="s">
        <v>20</v>
      </c>
      <c r="F22" s="10" t="s">
        <v>60</v>
      </c>
      <c r="G22" s="10">
        <v>40</v>
      </c>
      <c r="H22" s="11">
        <v>35</v>
      </c>
    </row>
    <row r="23" spans="1:8" x14ac:dyDescent="0.25">
      <c r="A23" s="9">
        <v>44742</v>
      </c>
      <c r="B23" s="10">
        <v>18</v>
      </c>
      <c r="C23" s="10" t="s">
        <v>61</v>
      </c>
      <c r="D23" s="10" t="s">
        <v>19</v>
      </c>
      <c r="E23" s="10" t="s">
        <v>24</v>
      </c>
      <c r="F23" s="10" t="s">
        <v>62</v>
      </c>
      <c r="G23" s="10">
        <v>45</v>
      </c>
      <c r="H23" s="11">
        <v>33.33</v>
      </c>
    </row>
    <row r="24" spans="1:8" x14ac:dyDescent="0.25">
      <c r="A24" s="9">
        <v>44773</v>
      </c>
      <c r="B24" s="10">
        <v>19</v>
      </c>
      <c r="C24" s="10" t="s">
        <v>63</v>
      </c>
      <c r="D24" s="10" t="s">
        <v>27</v>
      </c>
      <c r="E24" s="10" t="s">
        <v>28</v>
      </c>
      <c r="F24" s="10" t="s">
        <v>64</v>
      </c>
      <c r="G24" s="10">
        <v>50</v>
      </c>
      <c r="H24" s="11">
        <v>32</v>
      </c>
    </row>
    <row r="25" spans="1:8" x14ac:dyDescent="0.25">
      <c r="A25" s="9">
        <v>44804</v>
      </c>
      <c r="B25" s="10">
        <v>20</v>
      </c>
      <c r="C25" s="10" t="s">
        <v>65</v>
      </c>
      <c r="D25" s="10" t="s">
        <v>32</v>
      </c>
      <c r="E25" s="10" t="s">
        <v>33</v>
      </c>
      <c r="F25" s="10" t="s">
        <v>66</v>
      </c>
      <c r="G25" s="10">
        <v>55</v>
      </c>
      <c r="H25" s="11">
        <v>30.91</v>
      </c>
    </row>
    <row r="26" spans="1:8" x14ac:dyDescent="0.25">
      <c r="A26" s="9">
        <v>44834</v>
      </c>
      <c r="B26" s="10">
        <v>21</v>
      </c>
      <c r="C26" s="10" t="s">
        <v>67</v>
      </c>
      <c r="D26" s="10" t="s">
        <v>23</v>
      </c>
      <c r="E26" s="10" t="s">
        <v>20</v>
      </c>
      <c r="F26" s="10" t="s">
        <v>68</v>
      </c>
      <c r="G26" s="10">
        <v>60</v>
      </c>
      <c r="H26" s="11">
        <v>30</v>
      </c>
    </row>
    <row r="27" spans="1:8" x14ac:dyDescent="0.25">
      <c r="A27" s="9">
        <v>44865</v>
      </c>
      <c r="B27" s="10">
        <v>22</v>
      </c>
      <c r="C27" s="10" t="s">
        <v>69</v>
      </c>
      <c r="D27" s="10" t="s">
        <v>19</v>
      </c>
      <c r="E27" s="10" t="s">
        <v>24</v>
      </c>
      <c r="F27" s="10" t="s">
        <v>70</v>
      </c>
      <c r="G27" s="10">
        <v>0</v>
      </c>
      <c r="H27" s="10" t="s">
        <v>30</v>
      </c>
    </row>
    <row r="28" spans="1:8" x14ac:dyDescent="0.25">
      <c r="A28" s="9">
        <v>44895</v>
      </c>
      <c r="B28" s="10">
        <v>23</v>
      </c>
      <c r="C28" s="10" t="s">
        <v>71</v>
      </c>
      <c r="D28" s="10" t="s">
        <v>27</v>
      </c>
      <c r="E28" s="10" t="s">
        <v>28</v>
      </c>
      <c r="F28" s="10" t="s">
        <v>72</v>
      </c>
      <c r="G28" s="10">
        <v>65</v>
      </c>
      <c r="H28" s="11">
        <v>30.77</v>
      </c>
    </row>
    <row r="29" spans="1:8" x14ac:dyDescent="0.25">
      <c r="A29" s="9">
        <v>44926</v>
      </c>
      <c r="B29" s="10">
        <v>24</v>
      </c>
      <c r="C29" s="10" t="s">
        <v>73</v>
      </c>
      <c r="D29" s="10" t="s">
        <v>32</v>
      </c>
      <c r="E29" s="10" t="s">
        <v>33</v>
      </c>
      <c r="F29" s="10" t="s">
        <v>74</v>
      </c>
      <c r="G29" s="10">
        <v>70</v>
      </c>
      <c r="H29" s="11">
        <v>30</v>
      </c>
    </row>
    <row r="30" spans="1:8" x14ac:dyDescent="0.25">
      <c r="A30" s="9">
        <v>44957</v>
      </c>
      <c r="B30" s="10">
        <v>25</v>
      </c>
      <c r="C30" s="10" t="s">
        <v>75</v>
      </c>
      <c r="D30" s="10" t="s">
        <v>76</v>
      </c>
      <c r="E30" s="10" t="s">
        <v>77</v>
      </c>
      <c r="F30" s="10" t="s">
        <v>78</v>
      </c>
      <c r="G30" s="10">
        <v>75</v>
      </c>
      <c r="H30" s="11">
        <v>29.33</v>
      </c>
    </row>
    <row r="31" spans="1:8" x14ac:dyDescent="0.25">
      <c r="A31" s="9">
        <v>44985</v>
      </c>
      <c r="B31" s="10">
        <v>26</v>
      </c>
      <c r="C31" s="10" t="s">
        <v>79</v>
      </c>
      <c r="D31" s="10" t="s">
        <v>76</v>
      </c>
      <c r="E31" s="10" t="s">
        <v>80</v>
      </c>
      <c r="F31" s="10" t="s">
        <v>81</v>
      </c>
      <c r="G31" s="10">
        <v>80</v>
      </c>
      <c r="H31" s="11">
        <v>28.75</v>
      </c>
    </row>
    <row r="32" spans="1:8" x14ac:dyDescent="0.25">
      <c r="A32" s="9">
        <v>45016</v>
      </c>
      <c r="B32" s="10">
        <v>27</v>
      </c>
      <c r="C32" s="10" t="s">
        <v>51</v>
      </c>
      <c r="D32" s="10" t="s">
        <v>23</v>
      </c>
      <c r="E32" s="10" t="s">
        <v>82</v>
      </c>
      <c r="F32" s="10" t="s">
        <v>83</v>
      </c>
      <c r="G32" s="10">
        <v>0</v>
      </c>
      <c r="H32" s="10" t="s">
        <v>30</v>
      </c>
    </row>
    <row r="33" spans="1:8" x14ac:dyDescent="0.25">
      <c r="A33" s="9">
        <v>45046</v>
      </c>
      <c r="B33" s="10">
        <v>28</v>
      </c>
      <c r="C33" s="10" t="s">
        <v>49</v>
      </c>
      <c r="D33" s="10" t="s">
        <v>32</v>
      </c>
      <c r="E33" s="10" t="s">
        <v>84</v>
      </c>
      <c r="F33" s="10" t="s">
        <v>85</v>
      </c>
      <c r="G33" s="10">
        <v>85</v>
      </c>
      <c r="H33" s="11">
        <v>29.41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E7" sqref="E7"/>
    </sheetView>
  </sheetViews>
  <sheetFormatPr defaultRowHeight="15" x14ac:dyDescent="0.25"/>
  <cols>
    <col min="1" max="1" width="16" customWidth="1"/>
    <col min="2" max="2" width="3" bestFit="1" customWidth="1"/>
    <col min="3" max="3" width="17.5703125" bestFit="1" customWidth="1"/>
    <col min="4" max="4" width="7.140625" bestFit="1" customWidth="1"/>
    <col min="5" max="5" width="8.5703125" bestFit="1" customWidth="1"/>
    <col min="6" max="6" width="23.42578125" bestFit="1" customWidth="1"/>
    <col min="7" max="7" width="8.7109375" bestFit="1" customWidth="1"/>
    <col min="8" max="8" width="13.28515625" bestFit="1" customWidth="1"/>
  </cols>
  <sheetData>
    <row r="1" spans="1:16" s="7" customFormat="1" ht="48.75" customHeight="1" x14ac:dyDescent="0.3">
      <c r="A1" s="6" t="s">
        <v>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6" x14ac:dyDescent="0.25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6" x14ac:dyDescent="0.25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6" x14ac:dyDescent="0.25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6" x14ac:dyDescent="0.25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6" x14ac:dyDescent="0.25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6" x14ac:dyDescent="0.25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</row>
    <row r="9" spans="1:16" x14ac:dyDescent="0.25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6" x14ac:dyDescent="0.25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6" x14ac:dyDescent="0.25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6" x14ac:dyDescent="0.25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6" x14ac:dyDescent="0.25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6" x14ac:dyDescent="0.25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6" x14ac:dyDescent="0.25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6" x14ac:dyDescent="0.25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</row>
    <row r="17" spans="1:8" x14ac:dyDescent="0.25">
      <c r="A17" s="9">
        <v>44316</v>
      </c>
      <c r="B17" s="10">
        <v>4</v>
      </c>
      <c r="C17" s="10" t="s">
        <v>31</v>
      </c>
      <c r="D17" s="10" t="s">
        <v>32</v>
      </c>
      <c r="E17" s="10" t="s">
        <v>33</v>
      </c>
      <c r="F17" s="10" t="s">
        <v>34</v>
      </c>
      <c r="G17" s="10">
        <v>25</v>
      </c>
      <c r="H17" s="11">
        <v>10</v>
      </c>
    </row>
    <row r="18" spans="1:8" x14ac:dyDescent="0.25">
      <c r="A18" s="9">
        <v>44347</v>
      </c>
      <c r="B18" s="10">
        <v>5</v>
      </c>
      <c r="C18" s="10" t="s">
        <v>35</v>
      </c>
      <c r="D18" s="10" t="s">
        <v>23</v>
      </c>
      <c r="E18" s="10" t="s">
        <v>20</v>
      </c>
      <c r="F18" s="10" t="s">
        <v>36</v>
      </c>
      <c r="G18" s="10">
        <v>30</v>
      </c>
      <c r="H18" s="11">
        <v>16.670000000000002</v>
      </c>
    </row>
    <row r="19" spans="1:8" x14ac:dyDescent="0.25">
      <c r="A19" s="9">
        <v>44377</v>
      </c>
      <c r="B19" s="10">
        <v>6</v>
      </c>
      <c r="C19" s="10" t="s">
        <v>37</v>
      </c>
      <c r="D19" s="10"/>
      <c r="E19" s="10" t="s">
        <v>24</v>
      </c>
      <c r="F19" s="10" t="s">
        <v>38</v>
      </c>
      <c r="G19" s="10">
        <v>0</v>
      </c>
      <c r="H19" s="10" t="s">
        <v>30</v>
      </c>
    </row>
    <row r="20" spans="1:8" x14ac:dyDescent="0.25">
      <c r="A20" s="9">
        <v>44651</v>
      </c>
      <c r="B20" s="10">
        <v>15</v>
      </c>
      <c r="C20" s="10" t="s">
        <v>55</v>
      </c>
      <c r="D20" s="10" t="s">
        <v>27</v>
      </c>
      <c r="E20" s="10" t="s">
        <v>28</v>
      </c>
      <c r="F20" s="10" t="s">
        <v>56</v>
      </c>
      <c r="G20" s="10">
        <v>35</v>
      </c>
      <c r="H20" s="11">
        <v>34.29</v>
      </c>
    </row>
    <row r="21" spans="1:8" x14ac:dyDescent="0.25">
      <c r="A21" s="9">
        <v>44681</v>
      </c>
      <c r="B21" s="10">
        <v>16</v>
      </c>
      <c r="C21" s="10" t="s">
        <v>57</v>
      </c>
      <c r="D21" s="10"/>
      <c r="E21" s="10" t="s">
        <v>33</v>
      </c>
      <c r="F21" s="10" t="s">
        <v>58</v>
      </c>
      <c r="G21" s="10">
        <v>0</v>
      </c>
      <c r="H21" s="10" t="s">
        <v>30</v>
      </c>
    </row>
    <row r="22" spans="1:8" x14ac:dyDescent="0.25">
      <c r="A22" s="9">
        <v>44712</v>
      </c>
      <c r="B22" s="10">
        <v>17</v>
      </c>
      <c r="C22" s="10" t="s">
        <v>59</v>
      </c>
      <c r="D22" s="10" t="s">
        <v>23</v>
      </c>
      <c r="E22" s="10" t="s">
        <v>20</v>
      </c>
      <c r="F22" s="10" t="s">
        <v>60</v>
      </c>
      <c r="G22" s="10">
        <v>40</v>
      </c>
      <c r="H22" s="11">
        <v>35</v>
      </c>
    </row>
    <row r="23" spans="1:8" x14ac:dyDescent="0.25">
      <c r="A23" s="9">
        <v>44742</v>
      </c>
      <c r="B23" s="10">
        <v>18</v>
      </c>
      <c r="C23" s="10" t="s">
        <v>61</v>
      </c>
      <c r="D23" s="10" t="s">
        <v>19</v>
      </c>
      <c r="E23" s="10" t="s">
        <v>24</v>
      </c>
      <c r="F23" s="10" t="s">
        <v>62</v>
      </c>
      <c r="G23" s="10">
        <v>45</v>
      </c>
      <c r="H23" s="11">
        <v>33.33</v>
      </c>
    </row>
    <row r="24" spans="1:8" x14ac:dyDescent="0.25">
      <c r="A24" s="9">
        <v>44773</v>
      </c>
      <c r="B24" s="10">
        <v>19</v>
      </c>
      <c r="C24" s="10" t="s">
        <v>63</v>
      </c>
      <c r="D24" s="10" t="s">
        <v>27</v>
      </c>
      <c r="E24" s="10" t="s">
        <v>28</v>
      </c>
      <c r="F24" s="10" t="s">
        <v>64</v>
      </c>
      <c r="G24" s="10">
        <v>50</v>
      </c>
      <c r="H24" s="11">
        <v>32</v>
      </c>
    </row>
    <row r="25" spans="1:8" x14ac:dyDescent="0.25">
      <c r="A25" s="9">
        <v>44804</v>
      </c>
      <c r="B25" s="10">
        <v>20</v>
      </c>
      <c r="C25" s="10" t="s">
        <v>65</v>
      </c>
      <c r="D25" s="10" t="s">
        <v>32</v>
      </c>
      <c r="E25" s="10" t="s">
        <v>33</v>
      </c>
      <c r="F25" s="10" t="s">
        <v>66</v>
      </c>
      <c r="G25" s="10">
        <v>55</v>
      </c>
      <c r="H25" s="11">
        <v>30.91</v>
      </c>
    </row>
    <row r="26" spans="1:8" x14ac:dyDescent="0.25">
      <c r="A26" s="9">
        <v>44834</v>
      </c>
      <c r="B26" s="10">
        <v>21</v>
      </c>
      <c r="C26" s="10" t="s">
        <v>67</v>
      </c>
      <c r="D26" s="10" t="s">
        <v>23</v>
      </c>
      <c r="E26" s="10" t="s">
        <v>20</v>
      </c>
      <c r="F26" s="10" t="s">
        <v>68</v>
      </c>
      <c r="G26" s="10">
        <v>60</v>
      </c>
      <c r="H26" s="11">
        <v>30</v>
      </c>
    </row>
    <row r="27" spans="1:8" x14ac:dyDescent="0.25">
      <c r="A27" s="9">
        <v>44865</v>
      </c>
      <c r="B27" s="10">
        <v>22</v>
      </c>
      <c r="C27" s="10" t="s">
        <v>69</v>
      </c>
      <c r="D27" s="10" t="s">
        <v>19</v>
      </c>
      <c r="E27" s="10" t="s">
        <v>24</v>
      </c>
      <c r="F27" s="10" t="s">
        <v>70</v>
      </c>
      <c r="G27" s="10">
        <v>0</v>
      </c>
      <c r="H27" s="10" t="s">
        <v>30</v>
      </c>
    </row>
    <row r="28" spans="1:8" x14ac:dyDescent="0.25">
      <c r="A28" s="9">
        <v>44895</v>
      </c>
      <c r="B28" s="10">
        <v>23</v>
      </c>
      <c r="C28" s="10" t="s">
        <v>71</v>
      </c>
      <c r="D28" s="10" t="s">
        <v>27</v>
      </c>
      <c r="E28" s="10" t="s">
        <v>28</v>
      </c>
      <c r="F28" s="10" t="s">
        <v>72</v>
      </c>
      <c r="G28" s="10">
        <v>65</v>
      </c>
      <c r="H28" s="11">
        <v>30.77</v>
      </c>
    </row>
    <row r="29" spans="1:8" x14ac:dyDescent="0.25">
      <c r="A29" s="9">
        <v>44926</v>
      </c>
      <c r="B29" s="10">
        <v>24</v>
      </c>
      <c r="C29" s="10" t="s">
        <v>73</v>
      </c>
      <c r="D29" s="10" t="s">
        <v>32</v>
      </c>
      <c r="E29" s="10" t="s">
        <v>33</v>
      </c>
      <c r="F29" s="10" t="s">
        <v>74</v>
      </c>
      <c r="G29" s="10">
        <v>70</v>
      </c>
      <c r="H29" s="11">
        <v>30</v>
      </c>
    </row>
    <row r="30" spans="1:8" x14ac:dyDescent="0.25">
      <c r="A30" s="9">
        <v>44957</v>
      </c>
      <c r="B30" s="10">
        <v>25</v>
      </c>
      <c r="C30" s="10" t="s">
        <v>75</v>
      </c>
      <c r="D30" s="10" t="s">
        <v>76</v>
      </c>
      <c r="E30" s="10" t="s">
        <v>77</v>
      </c>
      <c r="F30" s="10" t="s">
        <v>78</v>
      </c>
      <c r="G30" s="10">
        <v>75</v>
      </c>
      <c r="H30" s="11">
        <v>29.33</v>
      </c>
    </row>
    <row r="31" spans="1:8" x14ac:dyDescent="0.25">
      <c r="A31" s="9">
        <v>44985</v>
      </c>
      <c r="B31" s="10">
        <v>26</v>
      </c>
      <c r="C31" s="10" t="s">
        <v>79</v>
      </c>
      <c r="D31" s="10" t="s">
        <v>76</v>
      </c>
      <c r="E31" s="10" t="s">
        <v>80</v>
      </c>
      <c r="F31" s="10" t="s">
        <v>81</v>
      </c>
      <c r="G31" s="10">
        <v>80</v>
      </c>
      <c r="H31" s="11">
        <v>28.75</v>
      </c>
    </row>
    <row r="32" spans="1:8" x14ac:dyDescent="0.25">
      <c r="A32" s="9">
        <v>45016</v>
      </c>
      <c r="B32" s="10">
        <v>27</v>
      </c>
      <c r="C32" s="10" t="s">
        <v>51</v>
      </c>
      <c r="D32" s="10" t="s">
        <v>23</v>
      </c>
      <c r="E32" s="10" t="s">
        <v>82</v>
      </c>
      <c r="F32" s="10" t="s">
        <v>83</v>
      </c>
      <c r="G32" s="10">
        <v>0</v>
      </c>
      <c r="H32" s="10" t="s">
        <v>30</v>
      </c>
    </row>
    <row r="33" spans="1:8" x14ac:dyDescent="0.25">
      <c r="A33" s="9">
        <v>45046</v>
      </c>
      <c r="B33" s="10">
        <v>28</v>
      </c>
      <c r="C33" s="10" t="s">
        <v>49</v>
      </c>
      <c r="D33" s="10" t="s">
        <v>32</v>
      </c>
      <c r="E33" s="10" t="s">
        <v>84</v>
      </c>
      <c r="F33" s="10" t="s">
        <v>85</v>
      </c>
      <c r="G33" s="10">
        <v>85</v>
      </c>
      <c r="H33" s="11">
        <v>29.41</v>
      </c>
    </row>
  </sheetData>
  <conditionalFormatting sqref="B2:B33">
    <cfRule type="duplicateValues" dxfId="86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F12" sqref="F12"/>
    </sheetView>
  </sheetViews>
  <sheetFormatPr defaultRowHeight="15" x14ac:dyDescent="0.25"/>
  <cols>
    <col min="1" max="1" width="14.85546875" bestFit="1" customWidth="1"/>
    <col min="2" max="2" width="3" bestFit="1" customWidth="1"/>
    <col min="3" max="3" width="17.5703125" bestFit="1" customWidth="1"/>
    <col min="4" max="4" width="7.140625" bestFit="1" customWidth="1"/>
    <col min="5" max="5" width="8.5703125" bestFit="1" customWidth="1"/>
    <col min="6" max="6" width="23.42578125" bestFit="1" customWidth="1"/>
    <col min="7" max="7" width="8.7109375" bestFit="1" customWidth="1"/>
    <col min="8" max="8" width="13.28515625" bestFit="1" customWidth="1"/>
    <col min="9" max="9" width="17.5703125" bestFit="1" customWidth="1"/>
  </cols>
  <sheetData>
    <row r="1" spans="1:16" s="7" customFormat="1" ht="48.75" customHeight="1" x14ac:dyDescent="0.3">
      <c r="A1" s="6" t="s">
        <v>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89</v>
      </c>
    </row>
    <row r="3" spans="1:16" x14ac:dyDescent="0.25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  <c r="I3" t="str">
        <f>TRIM(C3)</f>
        <v>John Smith</v>
      </c>
    </row>
    <row r="4" spans="1:16" x14ac:dyDescent="0.25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  <c r="I4" t="str">
        <f t="shared" ref="I4:I30" si="0">TRIM(C4)</f>
        <v>Jane Doe</v>
      </c>
    </row>
    <row r="5" spans="1:16" x14ac:dyDescent="0.25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  <c r="I5" t="str">
        <f t="shared" si="0"/>
        <v>Mike Tyson</v>
      </c>
    </row>
    <row r="6" spans="1:16" x14ac:dyDescent="0.25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  <c r="I6" t="str">
        <f t="shared" si="0"/>
        <v>Anna Belle</v>
      </c>
    </row>
    <row r="7" spans="1:16" x14ac:dyDescent="0.25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  <c r="I7" t="str">
        <f t="shared" si="0"/>
        <v>Chris P. Bacon</v>
      </c>
    </row>
    <row r="8" spans="1:16" x14ac:dyDescent="0.25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  <c r="I8" t="str">
        <f t="shared" si="0"/>
        <v>Peter Parker</v>
      </c>
    </row>
    <row r="9" spans="1:16" x14ac:dyDescent="0.25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  <c r="I9" t="str">
        <f t="shared" si="0"/>
        <v>Mary Jane</v>
      </c>
    </row>
    <row r="10" spans="1:16" x14ac:dyDescent="0.25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  <c r="I10" t="str">
        <f t="shared" si="0"/>
        <v>Bruce Wayne</v>
      </c>
    </row>
    <row r="11" spans="1:16" x14ac:dyDescent="0.25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  <c r="I11" t="str">
        <f t="shared" si="0"/>
        <v>Clark Kent</v>
      </c>
    </row>
    <row r="12" spans="1:16" x14ac:dyDescent="0.25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  <c r="I12" t="str">
        <f t="shared" si="0"/>
        <v>Diana Prince</v>
      </c>
    </row>
    <row r="13" spans="1:16" x14ac:dyDescent="0.25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  <c r="I13" t="str">
        <f t="shared" si="0"/>
        <v>Tony Stark</v>
      </c>
    </row>
    <row r="14" spans="1:16" x14ac:dyDescent="0.25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  <c r="I14" t="str">
        <f t="shared" si="0"/>
        <v>Steve Rogers</v>
      </c>
    </row>
    <row r="15" spans="1:16" x14ac:dyDescent="0.25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  <c r="I15" t="str">
        <f t="shared" si="0"/>
        <v>Natasha Romanoff</v>
      </c>
    </row>
    <row r="16" spans="1:16" x14ac:dyDescent="0.25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  <c r="I16" t="str">
        <f t="shared" si="0"/>
        <v>Bruce Banner</v>
      </c>
    </row>
    <row r="17" spans="1:9" x14ac:dyDescent="0.25">
      <c r="A17" s="9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  <c r="I17" t="str">
        <f t="shared" si="0"/>
        <v>Nick Fury</v>
      </c>
    </row>
    <row r="18" spans="1:9" x14ac:dyDescent="0.25">
      <c r="A18" s="9">
        <v>44681</v>
      </c>
      <c r="B18" s="10">
        <v>16</v>
      </c>
      <c r="C18" s="10" t="s">
        <v>57</v>
      </c>
      <c r="D18" s="10"/>
      <c r="E18" s="10" t="s">
        <v>33</v>
      </c>
      <c r="F18" s="10" t="s">
        <v>58</v>
      </c>
      <c r="G18" s="10">
        <v>0</v>
      </c>
      <c r="H18" s="10" t="s">
        <v>30</v>
      </c>
      <c r="I18" t="str">
        <f t="shared" si="0"/>
        <v>Phil Coulson</v>
      </c>
    </row>
    <row r="19" spans="1:9" x14ac:dyDescent="0.25">
      <c r="A19" s="9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  <c r="I19" t="str">
        <f t="shared" si="0"/>
        <v>Peggy Carter</v>
      </c>
    </row>
    <row r="20" spans="1:9" x14ac:dyDescent="0.25">
      <c r="A20" s="9">
        <v>44742</v>
      </c>
      <c r="B20" s="10">
        <v>18</v>
      </c>
      <c r="C20" s="10" t="s">
        <v>61</v>
      </c>
      <c r="D20" s="10" t="s">
        <v>19</v>
      </c>
      <c r="E20" s="10" t="s">
        <v>24</v>
      </c>
      <c r="F20" s="10" t="s">
        <v>62</v>
      </c>
      <c r="G20" s="10">
        <v>45</v>
      </c>
      <c r="H20" s="11">
        <v>33.33</v>
      </c>
      <c r="I20" t="str">
        <f t="shared" si="0"/>
        <v>Howard Stark</v>
      </c>
    </row>
    <row r="21" spans="1:9" x14ac:dyDescent="0.25">
      <c r="A21" s="9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  <c r="I21" t="str">
        <f t="shared" si="0"/>
        <v>Hank Pym</v>
      </c>
    </row>
    <row r="22" spans="1:9" x14ac:dyDescent="0.25">
      <c r="A22" s="9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  <c r="I22" t="str">
        <f t="shared" si="0"/>
        <v>Janet van Dyne</v>
      </c>
    </row>
    <row r="23" spans="1:9" x14ac:dyDescent="0.25">
      <c r="A23" s="9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  <c r="I23" t="str">
        <f t="shared" si="0"/>
        <v>Kurt Busiek</v>
      </c>
    </row>
    <row r="24" spans="1:9" x14ac:dyDescent="0.25">
      <c r="A24" s="9">
        <v>44865</v>
      </c>
      <c r="B24" s="10">
        <v>22</v>
      </c>
      <c r="C24" s="10" t="s">
        <v>69</v>
      </c>
      <c r="D24" s="10" t="s">
        <v>19</v>
      </c>
      <c r="E24" s="10" t="s">
        <v>24</v>
      </c>
      <c r="F24" s="10" t="s">
        <v>70</v>
      </c>
      <c r="G24" s="10">
        <v>0</v>
      </c>
      <c r="H24" s="10" t="s">
        <v>30</v>
      </c>
      <c r="I24" t="str">
        <f t="shared" si="0"/>
        <v>George Perez</v>
      </c>
    </row>
    <row r="25" spans="1:9" x14ac:dyDescent="0.25">
      <c r="A25" s="9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  <c r="I25" t="str">
        <f t="shared" si="0"/>
        <v>Roger Stern</v>
      </c>
    </row>
    <row r="26" spans="1:9" x14ac:dyDescent="0.25">
      <c r="A26" s="9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  <c r="I26" t="str">
        <f t="shared" si="0"/>
        <v>Tom DeFalco</v>
      </c>
    </row>
    <row r="27" spans="1:9" x14ac:dyDescent="0.25">
      <c r="A27" s="9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  <c r="I27" t="str">
        <f t="shared" si="0"/>
        <v>Loki Laufeyson</v>
      </c>
    </row>
    <row r="28" spans="1:9" x14ac:dyDescent="0.25">
      <c r="A28" s="9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  <c r="I28" t="str">
        <f t="shared" si="0"/>
        <v>Thor Odinson</v>
      </c>
    </row>
    <row r="29" spans="1:9" x14ac:dyDescent="0.25">
      <c r="A29" s="9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  <c r="I29" t="str">
        <f t="shared" si="0"/>
        <v>Natasha Romanoff</v>
      </c>
    </row>
    <row r="30" spans="1:9" x14ac:dyDescent="0.25">
      <c r="A30" s="9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  <c r="I30" t="str">
        <f t="shared" si="0"/>
        <v>Steve Rogers</v>
      </c>
    </row>
  </sheetData>
  <conditionalFormatting sqref="B2:B30">
    <cfRule type="duplicateValues" dxfId="8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G18" sqref="G18"/>
    </sheetView>
  </sheetViews>
  <sheetFormatPr defaultRowHeight="15" x14ac:dyDescent="0.25"/>
  <cols>
    <col min="1" max="1" width="16" customWidth="1"/>
    <col min="2" max="2" width="3" bestFit="1" customWidth="1"/>
    <col min="3" max="3" width="17.5703125" bestFit="1" customWidth="1"/>
    <col min="4" max="4" width="7.140625" bestFit="1" customWidth="1"/>
    <col min="5" max="5" width="8.5703125" bestFit="1" customWidth="1"/>
    <col min="6" max="6" width="23.42578125" bestFit="1" customWidth="1"/>
    <col min="7" max="7" width="8.7109375" bestFit="1" customWidth="1"/>
    <col min="8" max="8" width="13.28515625" bestFit="1" customWidth="1"/>
  </cols>
  <sheetData>
    <row r="1" spans="1:15" s="7" customFormat="1" ht="48.75" customHeight="1" x14ac:dyDescent="0.3">
      <c r="A1" s="6" t="s">
        <v>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5" x14ac:dyDescent="0.25">
      <c r="A3" s="9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5" x14ac:dyDescent="0.25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5" x14ac:dyDescent="0.25">
      <c r="A5" s="9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5" x14ac:dyDescent="0.25">
      <c r="A6" s="9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5" x14ac:dyDescent="0.25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5" x14ac:dyDescent="0.25">
      <c r="A8" s="9">
        <v>44377</v>
      </c>
      <c r="B8" s="10">
        <v>6</v>
      </c>
      <c r="C8" s="10" t="s">
        <v>94</v>
      </c>
      <c r="D8" s="12" t="s">
        <v>95</v>
      </c>
      <c r="E8" s="10" t="s">
        <v>24</v>
      </c>
      <c r="F8" s="10" t="s">
        <v>38</v>
      </c>
      <c r="G8" s="10">
        <v>0</v>
      </c>
      <c r="H8" s="10" t="s">
        <v>30</v>
      </c>
    </row>
    <row r="9" spans="1:15" x14ac:dyDescent="0.25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5" x14ac:dyDescent="0.25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5" x14ac:dyDescent="0.25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5" x14ac:dyDescent="0.25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5" x14ac:dyDescent="0.25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5" x14ac:dyDescent="0.25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5" x14ac:dyDescent="0.25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5" x14ac:dyDescent="0.25">
      <c r="A16" s="9">
        <v>44620</v>
      </c>
      <c r="B16" s="10">
        <v>14</v>
      </c>
      <c r="C16" s="10" t="s">
        <v>53</v>
      </c>
      <c r="D16" s="12" t="s">
        <v>95</v>
      </c>
      <c r="E16" s="10" t="s">
        <v>24</v>
      </c>
      <c r="F16" s="10" t="s">
        <v>54</v>
      </c>
      <c r="G16" s="10">
        <v>30</v>
      </c>
      <c r="H16" s="11">
        <v>36.67</v>
      </c>
    </row>
    <row r="17" spans="1:8" x14ac:dyDescent="0.25">
      <c r="A17" s="9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</row>
    <row r="18" spans="1:8" x14ac:dyDescent="0.25">
      <c r="A18" s="9">
        <v>44681</v>
      </c>
      <c r="B18" s="10">
        <v>16</v>
      </c>
      <c r="C18" s="10" t="s">
        <v>57</v>
      </c>
      <c r="D18" s="12" t="s">
        <v>95</v>
      </c>
      <c r="E18" s="10" t="s">
        <v>33</v>
      </c>
      <c r="F18" s="10" t="s">
        <v>58</v>
      </c>
      <c r="G18" s="10">
        <v>0</v>
      </c>
      <c r="H18" s="10" t="s">
        <v>30</v>
      </c>
    </row>
    <row r="19" spans="1:8" x14ac:dyDescent="0.25">
      <c r="A19" s="9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</row>
    <row r="20" spans="1:8" x14ac:dyDescent="0.25">
      <c r="A20" s="9">
        <v>44742</v>
      </c>
      <c r="B20" s="10">
        <v>18</v>
      </c>
      <c r="C20" s="10" t="s">
        <v>61</v>
      </c>
      <c r="D20" s="10" t="s">
        <v>19</v>
      </c>
      <c r="E20" s="10" t="s">
        <v>24</v>
      </c>
      <c r="F20" s="10" t="s">
        <v>62</v>
      </c>
      <c r="G20" s="10">
        <v>45</v>
      </c>
      <c r="H20" s="11">
        <v>33.33</v>
      </c>
    </row>
    <row r="21" spans="1:8" x14ac:dyDescent="0.25">
      <c r="A21" s="9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</row>
    <row r="22" spans="1:8" x14ac:dyDescent="0.25">
      <c r="A22" s="9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</row>
    <row r="23" spans="1:8" x14ac:dyDescent="0.25">
      <c r="A23" s="9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</row>
    <row r="24" spans="1:8" x14ac:dyDescent="0.25">
      <c r="A24" s="9">
        <v>44865</v>
      </c>
      <c r="B24" s="10">
        <v>22</v>
      </c>
      <c r="C24" s="10" t="s">
        <v>69</v>
      </c>
      <c r="D24" s="10" t="s">
        <v>19</v>
      </c>
      <c r="E24" s="10" t="s">
        <v>24</v>
      </c>
      <c r="F24" s="10" t="s">
        <v>70</v>
      </c>
      <c r="G24" s="10">
        <v>0</v>
      </c>
      <c r="H24" s="10" t="s">
        <v>30</v>
      </c>
    </row>
    <row r="25" spans="1:8" x14ac:dyDescent="0.25">
      <c r="A25" s="9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</row>
    <row r="26" spans="1:8" x14ac:dyDescent="0.25">
      <c r="A26" s="9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</row>
    <row r="27" spans="1:8" x14ac:dyDescent="0.25">
      <c r="A27" s="9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</row>
    <row r="28" spans="1:8" x14ac:dyDescent="0.25">
      <c r="A28" s="9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</row>
    <row r="29" spans="1:8" x14ac:dyDescent="0.25">
      <c r="A29" s="9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</row>
    <row r="30" spans="1:8" x14ac:dyDescent="0.25">
      <c r="A30" s="9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</row>
  </sheetData>
  <conditionalFormatting sqref="B2:B30">
    <cfRule type="duplicateValues" dxfId="8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G7" sqref="G7"/>
    </sheetView>
  </sheetViews>
  <sheetFormatPr defaultRowHeight="15" x14ac:dyDescent="0.25"/>
  <cols>
    <col min="1" max="1" width="16" customWidth="1"/>
    <col min="2" max="2" width="3" bestFit="1" customWidth="1"/>
    <col min="3" max="3" width="17.5703125" bestFit="1" customWidth="1"/>
    <col min="4" max="4" width="7.140625" bestFit="1" customWidth="1"/>
    <col min="5" max="5" width="9.140625" bestFit="1" customWidth="1"/>
    <col min="6" max="6" width="23.42578125" bestFit="1" customWidth="1"/>
    <col min="7" max="7" width="8.7109375" bestFit="1" customWidth="1"/>
    <col min="8" max="8" width="13.28515625" bestFit="1" customWidth="1"/>
  </cols>
  <sheetData>
    <row r="1" spans="1:15" s="7" customFormat="1" ht="48.75" customHeight="1" x14ac:dyDescent="0.3">
      <c r="A1" s="6" t="s">
        <v>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5" x14ac:dyDescent="0.25">
      <c r="A3" s="9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5" x14ac:dyDescent="0.25">
      <c r="A4" s="9">
        <v>44255</v>
      </c>
      <c r="B4" s="10">
        <v>2</v>
      </c>
      <c r="C4" s="10" t="s">
        <v>22</v>
      </c>
      <c r="D4" s="10" t="s">
        <v>23</v>
      </c>
      <c r="E4" s="10" t="s">
        <v>97</v>
      </c>
      <c r="F4" s="10" t="s">
        <v>25</v>
      </c>
      <c r="G4" s="10">
        <v>15</v>
      </c>
      <c r="H4" s="11">
        <v>10</v>
      </c>
    </row>
    <row r="5" spans="1:15" x14ac:dyDescent="0.25">
      <c r="A5" s="9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5" x14ac:dyDescent="0.25">
      <c r="A6" s="9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5" x14ac:dyDescent="0.25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5" x14ac:dyDescent="0.25">
      <c r="A8" s="9">
        <v>44377</v>
      </c>
      <c r="B8" s="10">
        <v>6</v>
      </c>
      <c r="C8" s="10" t="s">
        <v>94</v>
      </c>
      <c r="D8" s="12" t="s">
        <v>95</v>
      </c>
      <c r="E8" s="10" t="s">
        <v>97</v>
      </c>
      <c r="F8" s="10" t="s">
        <v>38</v>
      </c>
      <c r="G8" s="10">
        <v>0</v>
      </c>
      <c r="H8" s="10" t="s">
        <v>30</v>
      </c>
    </row>
    <row r="9" spans="1:15" x14ac:dyDescent="0.25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5" x14ac:dyDescent="0.25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5" x14ac:dyDescent="0.25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5" x14ac:dyDescent="0.25">
      <c r="A12" s="9">
        <v>44500</v>
      </c>
      <c r="B12" s="10">
        <v>10</v>
      </c>
      <c r="C12" s="10" t="s">
        <v>45</v>
      </c>
      <c r="D12" s="10" t="s">
        <v>19</v>
      </c>
      <c r="E12" s="10" t="s">
        <v>97</v>
      </c>
      <c r="F12" s="10" t="s">
        <v>46</v>
      </c>
      <c r="G12" s="10">
        <v>50</v>
      </c>
      <c r="H12" s="11">
        <v>14</v>
      </c>
    </row>
    <row r="13" spans="1:15" x14ac:dyDescent="0.25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5" x14ac:dyDescent="0.25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5" x14ac:dyDescent="0.25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5" x14ac:dyDescent="0.25">
      <c r="A16" s="9">
        <v>44620</v>
      </c>
      <c r="B16" s="10">
        <v>14</v>
      </c>
      <c r="C16" s="10" t="s">
        <v>53</v>
      </c>
      <c r="D16" s="12" t="s">
        <v>95</v>
      </c>
      <c r="E16" s="10" t="s">
        <v>97</v>
      </c>
      <c r="F16" s="10" t="s">
        <v>54</v>
      </c>
      <c r="G16" s="10">
        <v>30</v>
      </c>
      <c r="H16" s="11">
        <v>36.67</v>
      </c>
    </row>
    <row r="17" spans="1:8" x14ac:dyDescent="0.25">
      <c r="A17" s="9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</row>
    <row r="18" spans="1:8" x14ac:dyDescent="0.25">
      <c r="A18" s="9">
        <v>44681</v>
      </c>
      <c r="B18" s="10">
        <v>16</v>
      </c>
      <c r="C18" s="10" t="s">
        <v>57</v>
      </c>
      <c r="D18" s="12" t="s">
        <v>95</v>
      </c>
      <c r="E18" s="10" t="s">
        <v>33</v>
      </c>
      <c r="F18" s="10" t="s">
        <v>58</v>
      </c>
      <c r="G18" s="10">
        <v>0</v>
      </c>
      <c r="H18" s="10" t="s">
        <v>30</v>
      </c>
    </row>
    <row r="19" spans="1:8" x14ac:dyDescent="0.25">
      <c r="A19" s="9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</row>
    <row r="20" spans="1:8" x14ac:dyDescent="0.25">
      <c r="A20" s="9">
        <v>44742</v>
      </c>
      <c r="B20" s="10">
        <v>18</v>
      </c>
      <c r="C20" s="10" t="s">
        <v>61</v>
      </c>
      <c r="D20" s="10" t="s">
        <v>19</v>
      </c>
      <c r="E20" s="10" t="s">
        <v>97</v>
      </c>
      <c r="F20" s="10" t="s">
        <v>62</v>
      </c>
      <c r="G20" s="10">
        <v>45</v>
      </c>
      <c r="H20" s="11">
        <v>33.33</v>
      </c>
    </row>
    <row r="21" spans="1:8" x14ac:dyDescent="0.25">
      <c r="A21" s="9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</row>
    <row r="22" spans="1:8" x14ac:dyDescent="0.25">
      <c r="A22" s="9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</row>
    <row r="23" spans="1:8" x14ac:dyDescent="0.25">
      <c r="A23" s="9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</row>
    <row r="24" spans="1:8" x14ac:dyDescent="0.25">
      <c r="A24" s="9">
        <v>44865</v>
      </c>
      <c r="B24" s="10">
        <v>22</v>
      </c>
      <c r="C24" s="10" t="s">
        <v>69</v>
      </c>
      <c r="D24" s="10" t="s">
        <v>19</v>
      </c>
      <c r="E24" s="10" t="s">
        <v>97</v>
      </c>
      <c r="F24" s="10" t="s">
        <v>70</v>
      </c>
      <c r="G24" s="10">
        <v>0</v>
      </c>
      <c r="H24" s="10" t="s">
        <v>30</v>
      </c>
    </row>
    <row r="25" spans="1:8" x14ac:dyDescent="0.25">
      <c r="A25" s="9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</row>
    <row r="26" spans="1:8" x14ac:dyDescent="0.25">
      <c r="A26" s="9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</row>
    <row r="27" spans="1:8" x14ac:dyDescent="0.25">
      <c r="A27" s="9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</row>
    <row r="28" spans="1:8" x14ac:dyDescent="0.25">
      <c r="A28" s="9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</row>
    <row r="29" spans="1:8" x14ac:dyDescent="0.25">
      <c r="A29" s="9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</row>
    <row r="30" spans="1:8" x14ac:dyDescent="0.25">
      <c r="A30" s="9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</row>
  </sheetData>
  <conditionalFormatting sqref="B2:B30">
    <cfRule type="duplicateValues" dxfId="8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D9" sqref="D9"/>
    </sheetView>
  </sheetViews>
  <sheetFormatPr defaultRowHeight="15" x14ac:dyDescent="0.25"/>
  <cols>
    <col min="1" max="1" width="12.85546875" customWidth="1"/>
    <col min="2" max="2" width="3" bestFit="1" customWidth="1"/>
    <col min="3" max="3" width="17.5703125" bestFit="1" customWidth="1"/>
    <col min="4" max="4" width="7.140625" bestFit="1" customWidth="1"/>
    <col min="5" max="5" width="8.5703125" bestFit="1" customWidth="1"/>
    <col min="6" max="6" width="23.42578125" bestFit="1" customWidth="1"/>
    <col min="7" max="7" width="8.7109375" bestFit="1" customWidth="1"/>
    <col min="8" max="8" width="13.28515625" bestFit="1" customWidth="1"/>
  </cols>
  <sheetData>
    <row r="1" spans="1:15" s="7" customFormat="1" ht="48.75" customHeight="1" x14ac:dyDescent="0.3">
      <c r="A1" s="6" t="s">
        <v>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5" x14ac:dyDescent="0.25">
      <c r="A3" s="35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5" x14ac:dyDescent="0.25">
      <c r="A4" s="35">
        <v>44255</v>
      </c>
      <c r="B4" s="10">
        <v>2</v>
      </c>
      <c r="C4" s="10" t="s">
        <v>22</v>
      </c>
      <c r="D4" s="10" t="s">
        <v>23</v>
      </c>
      <c r="E4" s="10" t="s">
        <v>97</v>
      </c>
      <c r="F4" s="10" t="s">
        <v>25</v>
      </c>
      <c r="G4" s="10">
        <v>15</v>
      </c>
      <c r="H4" s="11">
        <v>10</v>
      </c>
    </row>
    <row r="5" spans="1:15" x14ac:dyDescent="0.25">
      <c r="A5" s="35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5" x14ac:dyDescent="0.25">
      <c r="A6" s="35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5" x14ac:dyDescent="0.25">
      <c r="A7" s="35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5" x14ac:dyDescent="0.25">
      <c r="A8" s="35">
        <v>44377</v>
      </c>
      <c r="B8" s="10">
        <v>6</v>
      </c>
      <c r="C8" s="10" t="s">
        <v>94</v>
      </c>
      <c r="D8" s="12" t="s">
        <v>95</v>
      </c>
      <c r="E8" s="10" t="s">
        <v>97</v>
      </c>
      <c r="F8" s="10" t="s">
        <v>38</v>
      </c>
      <c r="G8" s="10">
        <v>0</v>
      </c>
      <c r="H8" s="10" t="s">
        <v>30</v>
      </c>
    </row>
    <row r="9" spans="1:15" x14ac:dyDescent="0.25">
      <c r="A9" s="35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5" x14ac:dyDescent="0.25">
      <c r="A10" s="35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5" x14ac:dyDescent="0.25">
      <c r="A11" s="35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5" x14ac:dyDescent="0.25">
      <c r="A12" s="35">
        <v>44500</v>
      </c>
      <c r="B12" s="10">
        <v>10</v>
      </c>
      <c r="C12" s="10" t="s">
        <v>45</v>
      </c>
      <c r="D12" s="10" t="s">
        <v>19</v>
      </c>
      <c r="E12" s="10" t="s">
        <v>97</v>
      </c>
      <c r="F12" s="10" t="s">
        <v>46</v>
      </c>
      <c r="G12" s="10">
        <v>50</v>
      </c>
      <c r="H12" s="11">
        <v>14</v>
      </c>
    </row>
    <row r="13" spans="1:15" x14ac:dyDescent="0.25">
      <c r="A13" s="35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5" x14ac:dyDescent="0.25">
      <c r="A14" s="35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5" x14ac:dyDescent="0.25">
      <c r="A15" s="35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5" x14ac:dyDescent="0.25">
      <c r="A16" s="35">
        <v>44620</v>
      </c>
      <c r="B16" s="10">
        <v>14</v>
      </c>
      <c r="C16" s="10" t="s">
        <v>53</v>
      </c>
      <c r="D16" s="12" t="s">
        <v>95</v>
      </c>
      <c r="E16" s="10" t="s">
        <v>97</v>
      </c>
      <c r="F16" s="10" t="s">
        <v>54</v>
      </c>
      <c r="G16" s="10">
        <v>30</v>
      </c>
      <c r="H16" s="11">
        <v>36.67</v>
      </c>
    </row>
    <row r="17" spans="1:8" x14ac:dyDescent="0.25">
      <c r="A17" s="35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</row>
    <row r="18" spans="1:8" x14ac:dyDescent="0.25">
      <c r="A18" s="35">
        <v>44681</v>
      </c>
      <c r="B18" s="10">
        <v>16</v>
      </c>
      <c r="C18" s="10" t="s">
        <v>57</v>
      </c>
      <c r="D18" s="12" t="s">
        <v>95</v>
      </c>
      <c r="E18" s="10" t="s">
        <v>33</v>
      </c>
      <c r="F18" s="10" t="s">
        <v>58</v>
      </c>
      <c r="G18" s="10">
        <v>0</v>
      </c>
      <c r="H18" s="10" t="s">
        <v>30</v>
      </c>
    </row>
    <row r="19" spans="1:8" x14ac:dyDescent="0.25">
      <c r="A19" s="35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</row>
    <row r="20" spans="1:8" x14ac:dyDescent="0.25">
      <c r="A20" s="35">
        <v>44742</v>
      </c>
      <c r="B20" s="10">
        <v>18</v>
      </c>
      <c r="C20" s="10" t="s">
        <v>61</v>
      </c>
      <c r="D20" s="10" t="s">
        <v>19</v>
      </c>
      <c r="E20" s="10" t="s">
        <v>97</v>
      </c>
      <c r="F20" s="10" t="s">
        <v>62</v>
      </c>
      <c r="G20" s="10">
        <v>45</v>
      </c>
      <c r="H20" s="11">
        <v>33.33</v>
      </c>
    </row>
    <row r="21" spans="1:8" x14ac:dyDescent="0.25">
      <c r="A21" s="35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</row>
    <row r="22" spans="1:8" x14ac:dyDescent="0.25">
      <c r="A22" s="35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</row>
    <row r="23" spans="1:8" x14ac:dyDescent="0.25">
      <c r="A23" s="35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</row>
    <row r="24" spans="1:8" x14ac:dyDescent="0.25">
      <c r="A24" s="35">
        <v>44865</v>
      </c>
      <c r="B24" s="10">
        <v>22</v>
      </c>
      <c r="C24" s="10" t="s">
        <v>69</v>
      </c>
      <c r="D24" s="10" t="s">
        <v>19</v>
      </c>
      <c r="E24" s="10" t="s">
        <v>97</v>
      </c>
      <c r="F24" s="10" t="s">
        <v>70</v>
      </c>
      <c r="G24" s="10">
        <v>0</v>
      </c>
      <c r="H24" s="10" t="s">
        <v>30</v>
      </c>
    </row>
    <row r="25" spans="1:8" x14ac:dyDescent="0.25">
      <c r="A25" s="35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</row>
    <row r="26" spans="1:8" x14ac:dyDescent="0.25">
      <c r="A26" s="35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</row>
    <row r="27" spans="1:8" x14ac:dyDescent="0.25">
      <c r="A27" s="35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</row>
    <row r="28" spans="1:8" x14ac:dyDescent="0.25">
      <c r="A28" s="35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</row>
    <row r="29" spans="1:8" x14ac:dyDescent="0.25">
      <c r="A29" s="35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</row>
    <row r="30" spans="1:8" x14ac:dyDescent="0.25">
      <c r="A30" s="35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</row>
    <row r="31" spans="1:8" x14ac:dyDescent="0.25">
      <c r="A31" s="36"/>
    </row>
  </sheetData>
  <conditionalFormatting sqref="B2:B30">
    <cfRule type="duplicateValues" dxfId="82" priority="1"/>
  </conditionalFormatting>
  <dataValidations count="1">
    <dataValidation type="list" allowBlank="1" showInputMessage="1" showErrorMessage="1" sqref="D3:D30">
      <formula1>"North, South, East, West, Asgard"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 x14ac:dyDescent="0.25"/>
  <cols>
    <col min="1" max="1" width="14.85546875" bestFit="1" customWidth="1"/>
    <col min="2" max="2" width="7.42578125" bestFit="1" customWidth="1"/>
    <col min="3" max="3" width="17.5703125" bestFit="1" customWidth="1"/>
    <col min="4" max="4" width="11.7109375" bestFit="1" customWidth="1"/>
    <col min="5" max="5" width="11.140625" bestFit="1" customWidth="1"/>
    <col min="6" max="6" width="23.42578125" bestFit="1" customWidth="1"/>
    <col min="7" max="7" width="13.28515625" bestFit="1" customWidth="1"/>
    <col min="8" max="8" width="17.85546875" bestFit="1" customWidth="1"/>
  </cols>
  <sheetData>
    <row r="1" spans="1:15" s="7" customFormat="1" ht="48.75" customHeight="1" x14ac:dyDescent="0.3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14" customFormat="1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3" t="s">
        <v>17</v>
      </c>
    </row>
    <row r="3" spans="1:15" x14ac:dyDescent="0.25">
      <c r="A3" s="16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0">
        <v>10</v>
      </c>
      <c r="H3" s="18">
        <v>20</v>
      </c>
    </row>
    <row r="4" spans="1:15" x14ac:dyDescent="0.25">
      <c r="A4" s="16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0">
        <v>15</v>
      </c>
      <c r="H4" s="18">
        <v>10</v>
      </c>
    </row>
    <row r="5" spans="1:15" x14ac:dyDescent="0.25">
      <c r="A5" s="16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0">
        <v>0</v>
      </c>
      <c r="H5" s="17" t="s">
        <v>30</v>
      </c>
    </row>
    <row r="6" spans="1:15" x14ac:dyDescent="0.25">
      <c r="A6" s="16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0">
        <v>25</v>
      </c>
      <c r="H6" s="18">
        <v>10</v>
      </c>
    </row>
    <row r="7" spans="1:15" x14ac:dyDescent="0.25">
      <c r="A7" s="16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0">
        <v>30</v>
      </c>
      <c r="H7" s="18">
        <v>16.670000000000002</v>
      </c>
    </row>
    <row r="8" spans="1:15" x14ac:dyDescent="0.25">
      <c r="A8" s="16">
        <v>44377</v>
      </c>
      <c r="B8" s="20">
        <v>6</v>
      </c>
      <c r="C8" s="17" t="s">
        <v>94</v>
      </c>
      <c r="D8" s="19" t="s">
        <v>23</v>
      </c>
      <c r="E8" s="17" t="s">
        <v>97</v>
      </c>
      <c r="F8" s="17" t="s">
        <v>38</v>
      </c>
      <c r="G8" s="20">
        <v>0</v>
      </c>
      <c r="H8" s="17" t="s">
        <v>30</v>
      </c>
    </row>
    <row r="9" spans="1:15" x14ac:dyDescent="0.25">
      <c r="A9" s="16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0">
        <v>35</v>
      </c>
      <c r="H9" s="18">
        <v>10</v>
      </c>
    </row>
    <row r="10" spans="1:15" x14ac:dyDescent="0.25">
      <c r="A10" s="16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0">
        <v>40</v>
      </c>
      <c r="H10" s="18">
        <v>15</v>
      </c>
    </row>
    <row r="11" spans="1:15" x14ac:dyDescent="0.25">
      <c r="A11" s="16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0">
        <v>45</v>
      </c>
      <c r="H11" s="18">
        <v>12.22</v>
      </c>
    </row>
    <row r="12" spans="1:15" x14ac:dyDescent="0.25">
      <c r="A12" s="16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0">
        <v>50</v>
      </c>
      <c r="H12" s="18">
        <v>14</v>
      </c>
    </row>
    <row r="13" spans="1:15" x14ac:dyDescent="0.25">
      <c r="A13" s="16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0">
        <v>5</v>
      </c>
      <c r="H13" s="18">
        <v>160</v>
      </c>
    </row>
    <row r="14" spans="1:15" x14ac:dyDescent="0.25">
      <c r="A14" s="16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0">
        <v>20</v>
      </c>
      <c r="H14" s="18">
        <v>45</v>
      </c>
    </row>
    <row r="15" spans="1:15" x14ac:dyDescent="0.25">
      <c r="A15" s="16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0">
        <v>0</v>
      </c>
      <c r="H15" s="17" t="s">
        <v>30</v>
      </c>
    </row>
    <row r="16" spans="1:15" x14ac:dyDescent="0.25">
      <c r="A16" s="16">
        <v>44620</v>
      </c>
      <c r="B16" s="20">
        <v>14</v>
      </c>
      <c r="C16" s="17" t="s">
        <v>53</v>
      </c>
      <c r="D16" s="19" t="s">
        <v>23</v>
      </c>
      <c r="E16" s="17" t="s">
        <v>97</v>
      </c>
      <c r="F16" s="17" t="s">
        <v>54</v>
      </c>
      <c r="G16" s="20">
        <v>30</v>
      </c>
      <c r="H16" s="18">
        <v>36.67</v>
      </c>
    </row>
    <row r="17" spans="1:8" x14ac:dyDescent="0.25">
      <c r="A17" s="16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0">
        <v>35</v>
      </c>
      <c r="H17" s="18">
        <v>34.29</v>
      </c>
    </row>
    <row r="18" spans="1:8" x14ac:dyDescent="0.25">
      <c r="A18" s="16">
        <v>44681</v>
      </c>
      <c r="B18" s="20">
        <v>16</v>
      </c>
      <c r="C18" s="17" t="s">
        <v>57</v>
      </c>
      <c r="D18" s="19" t="s">
        <v>27</v>
      </c>
      <c r="E18" s="17" t="s">
        <v>33</v>
      </c>
      <c r="F18" s="17" t="s">
        <v>58</v>
      </c>
      <c r="G18" s="20">
        <v>0</v>
      </c>
      <c r="H18" s="17" t="s">
        <v>30</v>
      </c>
    </row>
    <row r="19" spans="1:8" x14ac:dyDescent="0.25">
      <c r="A19" s="16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0">
        <v>40</v>
      </c>
      <c r="H19" s="18">
        <v>35</v>
      </c>
    </row>
    <row r="20" spans="1:8" x14ac:dyDescent="0.25">
      <c r="A20" s="16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0">
        <v>45</v>
      </c>
      <c r="H20" s="18">
        <v>33.33</v>
      </c>
    </row>
    <row r="21" spans="1:8" x14ac:dyDescent="0.25">
      <c r="A21" s="16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0">
        <v>50</v>
      </c>
      <c r="H21" s="18">
        <v>32</v>
      </c>
    </row>
    <row r="22" spans="1:8" x14ac:dyDescent="0.25">
      <c r="A22" s="16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0">
        <v>55</v>
      </c>
      <c r="H22" s="18">
        <v>30.91</v>
      </c>
    </row>
    <row r="23" spans="1:8" x14ac:dyDescent="0.25">
      <c r="A23" s="16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0">
        <v>60</v>
      </c>
      <c r="H23" s="18">
        <v>30</v>
      </c>
    </row>
    <row r="24" spans="1:8" x14ac:dyDescent="0.25">
      <c r="A24" s="16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0">
        <v>0</v>
      </c>
      <c r="H24" s="17" t="s">
        <v>30</v>
      </c>
    </row>
    <row r="25" spans="1:8" x14ac:dyDescent="0.25">
      <c r="A25" s="16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0">
        <v>65</v>
      </c>
      <c r="H25" s="18">
        <v>30.77</v>
      </c>
    </row>
    <row r="26" spans="1:8" x14ac:dyDescent="0.25">
      <c r="A26" s="16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0">
        <v>70</v>
      </c>
      <c r="H26" s="18">
        <v>30</v>
      </c>
    </row>
    <row r="27" spans="1:8" x14ac:dyDescent="0.25">
      <c r="A27" s="16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0">
        <v>75</v>
      </c>
      <c r="H27" s="18">
        <v>29.33</v>
      </c>
    </row>
    <row r="28" spans="1:8" x14ac:dyDescent="0.25">
      <c r="A28" s="16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0">
        <v>80</v>
      </c>
      <c r="H28" s="18">
        <v>28.75</v>
      </c>
    </row>
    <row r="29" spans="1:8" x14ac:dyDescent="0.25">
      <c r="A29" s="16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0">
        <v>0</v>
      </c>
      <c r="H29" s="17" t="s">
        <v>30</v>
      </c>
    </row>
    <row r="30" spans="1:8" x14ac:dyDescent="0.25">
      <c r="A30" s="16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0">
        <v>85</v>
      </c>
      <c r="H30" s="18">
        <v>29.41</v>
      </c>
    </row>
    <row r="31" spans="1:8" x14ac:dyDescent="0.25">
      <c r="A31" s="17" t="s">
        <v>100</v>
      </c>
      <c r="B31" s="20"/>
      <c r="C31" s="17"/>
      <c r="D31" s="17"/>
      <c r="E31" s="17"/>
      <c r="F31" s="17"/>
      <c r="G31" s="20"/>
      <c r="H31" s="18">
        <f>SUBTOTAL(104,Table1[Price Per Unit])</f>
        <v>160</v>
      </c>
    </row>
  </sheetData>
  <conditionalFormatting sqref="B2:B30">
    <cfRule type="duplicateValues" dxfId="81" priority="1"/>
  </conditionalFormatting>
  <dataValidations count="1">
    <dataValidation type="list" allowBlank="1" showInputMessage="1" showErrorMessage="1" sqref="D3:D30">
      <formula1>"North, South, East, West, Asgard"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F3" sqref="F3"/>
    </sheetView>
  </sheetViews>
  <sheetFormatPr defaultRowHeight="15" x14ac:dyDescent="0.25"/>
  <cols>
    <col min="1" max="1" width="14.85546875" bestFit="1" customWidth="1"/>
    <col min="2" max="2" width="7.42578125" bestFit="1" customWidth="1"/>
    <col min="3" max="3" width="17.5703125" bestFit="1" customWidth="1"/>
    <col min="4" max="4" width="11.7109375" bestFit="1" customWidth="1"/>
    <col min="5" max="5" width="11.140625" bestFit="1" customWidth="1"/>
    <col min="6" max="6" width="23.42578125" bestFit="1" customWidth="1"/>
    <col min="7" max="7" width="13.28515625" style="14" bestFit="1" customWidth="1"/>
    <col min="8" max="8" width="17.85546875" bestFit="1" customWidth="1"/>
    <col min="9" max="9" width="10.85546875" bestFit="1" customWidth="1"/>
    <col min="10" max="11" width="50.85546875" customWidth="1"/>
  </cols>
  <sheetData>
    <row r="1" spans="1:15" s="7" customFormat="1" ht="48.75" customHeight="1" x14ac:dyDescent="0.3">
      <c r="A1" s="6" t="s">
        <v>101</v>
      </c>
      <c r="B1" s="6"/>
      <c r="C1" s="6"/>
      <c r="D1" s="6"/>
      <c r="E1" s="6"/>
      <c r="F1" s="6"/>
      <c r="G1" s="22"/>
      <c r="H1" s="6"/>
      <c r="I1" s="6"/>
      <c r="J1" s="6"/>
      <c r="K1" s="6"/>
      <c r="L1" s="6"/>
      <c r="M1" s="6"/>
      <c r="N1" s="6"/>
      <c r="O1" s="6"/>
    </row>
    <row r="2" spans="1:15" s="14" customFormat="1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23" t="s">
        <v>16</v>
      </c>
      <c r="H2" s="13" t="s">
        <v>17</v>
      </c>
      <c r="I2" s="15" t="s">
        <v>102</v>
      </c>
    </row>
    <row r="3" spans="1:15" x14ac:dyDescent="0.25">
      <c r="A3" s="16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4">
        <v>10</v>
      </c>
      <c r="H3" s="18">
        <v>20</v>
      </c>
      <c r="I3" s="21">
        <f>IFERROR( Table134[[#This Row],[Quantity]]*Table134[[#This Row],[Price Per Unit]], "")</f>
        <v>200</v>
      </c>
    </row>
    <row r="4" spans="1:15" x14ac:dyDescent="0.25">
      <c r="A4" s="16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4">
        <v>15</v>
      </c>
      <c r="H4" s="18">
        <v>10</v>
      </c>
      <c r="I4" s="21">
        <f>IFERROR( Table134[[#This Row],[Quantity]]*Table134[[#This Row],[Price Per Unit]], "")</f>
        <v>150</v>
      </c>
    </row>
    <row r="5" spans="1:15" x14ac:dyDescent="0.25">
      <c r="A5" s="16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4">
        <v>0</v>
      </c>
      <c r="H5" s="17" t="s">
        <v>30</v>
      </c>
      <c r="I5" s="21" t="str">
        <f>IFERROR( Table134[[#This Row],[Quantity]]*Table134[[#This Row],[Price Per Unit]], "")</f>
        <v/>
      </c>
    </row>
    <row r="6" spans="1:15" x14ac:dyDescent="0.25">
      <c r="A6" s="16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4">
        <v>25</v>
      </c>
      <c r="H6" s="18">
        <v>10</v>
      </c>
      <c r="I6" s="21">
        <f>IFERROR( Table134[[#This Row],[Quantity]]*Table134[[#This Row],[Price Per Unit]], "")</f>
        <v>250</v>
      </c>
    </row>
    <row r="7" spans="1:15" x14ac:dyDescent="0.25">
      <c r="A7" s="16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4">
        <v>30</v>
      </c>
      <c r="H7" s="18">
        <v>16.670000000000002</v>
      </c>
      <c r="I7" s="21">
        <f>IFERROR( Table134[[#This Row],[Quantity]]*Table134[[#This Row],[Price Per Unit]], "")</f>
        <v>500.1</v>
      </c>
    </row>
    <row r="8" spans="1:15" x14ac:dyDescent="0.25">
      <c r="A8" s="16">
        <v>44377</v>
      </c>
      <c r="B8" s="20">
        <v>6</v>
      </c>
      <c r="C8" s="17" t="s">
        <v>94</v>
      </c>
      <c r="D8" s="19" t="s">
        <v>95</v>
      </c>
      <c r="E8" s="17" t="s">
        <v>97</v>
      </c>
      <c r="F8" s="17" t="s">
        <v>38</v>
      </c>
      <c r="G8" s="24">
        <v>0</v>
      </c>
      <c r="H8" s="17" t="s">
        <v>30</v>
      </c>
      <c r="I8" s="21" t="str">
        <f>IFERROR( Table134[[#This Row],[Quantity]]*Table134[[#This Row],[Price Per Unit]], "")</f>
        <v/>
      </c>
    </row>
    <row r="9" spans="1:15" x14ac:dyDescent="0.25">
      <c r="A9" s="16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4">
        <v>35</v>
      </c>
      <c r="H9" s="18">
        <v>10</v>
      </c>
      <c r="I9" s="21">
        <f>IFERROR( Table134[[#This Row],[Quantity]]*Table134[[#This Row],[Price Per Unit]], "")</f>
        <v>350</v>
      </c>
    </row>
    <row r="10" spans="1:15" x14ac:dyDescent="0.25">
      <c r="A10" s="16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4">
        <v>40</v>
      </c>
      <c r="H10" s="18">
        <v>15</v>
      </c>
      <c r="I10" s="21">
        <f>IFERROR( Table134[[#This Row],[Quantity]]*Table134[[#This Row],[Price Per Unit]], "")</f>
        <v>600</v>
      </c>
    </row>
    <row r="11" spans="1:15" x14ac:dyDescent="0.25">
      <c r="A11" s="16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4">
        <v>45</v>
      </c>
      <c r="H11" s="18">
        <v>12.22</v>
      </c>
      <c r="I11" s="21">
        <f>IFERROR( Table134[[#This Row],[Quantity]]*Table134[[#This Row],[Price Per Unit]], "")</f>
        <v>549.9</v>
      </c>
    </row>
    <row r="12" spans="1:15" x14ac:dyDescent="0.25">
      <c r="A12" s="16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4">
        <v>50</v>
      </c>
      <c r="H12" s="18">
        <v>14</v>
      </c>
      <c r="I12" s="21">
        <f>IFERROR( Table134[[#This Row],[Quantity]]*Table134[[#This Row],[Price Per Unit]], "")</f>
        <v>700</v>
      </c>
    </row>
    <row r="13" spans="1:15" x14ac:dyDescent="0.25">
      <c r="A13" s="16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4">
        <v>5</v>
      </c>
      <c r="H13" s="18">
        <v>160</v>
      </c>
      <c r="I13" s="21">
        <f>IFERROR( Table134[[#This Row],[Quantity]]*Table134[[#This Row],[Price Per Unit]], "")</f>
        <v>800</v>
      </c>
    </row>
    <row r="14" spans="1:15" x14ac:dyDescent="0.25">
      <c r="A14" s="16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4">
        <v>20</v>
      </c>
      <c r="H14" s="18">
        <v>45</v>
      </c>
      <c r="I14" s="21">
        <f>IFERROR( Table134[[#This Row],[Quantity]]*Table134[[#This Row],[Price Per Unit]], "")</f>
        <v>900</v>
      </c>
    </row>
    <row r="15" spans="1:15" x14ac:dyDescent="0.25">
      <c r="A15" s="16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4">
        <v>0</v>
      </c>
      <c r="H15" s="17" t="s">
        <v>30</v>
      </c>
      <c r="I15" s="21" t="str">
        <f>IFERROR( Table134[[#This Row],[Quantity]]*Table134[[#This Row],[Price Per Unit]], "")</f>
        <v/>
      </c>
    </row>
    <row r="16" spans="1:15" x14ac:dyDescent="0.25">
      <c r="A16" s="16">
        <v>44620</v>
      </c>
      <c r="B16" s="20">
        <v>14</v>
      </c>
      <c r="C16" s="17" t="s">
        <v>53</v>
      </c>
      <c r="D16" s="19" t="s">
        <v>95</v>
      </c>
      <c r="E16" s="17" t="s">
        <v>97</v>
      </c>
      <c r="F16" s="17" t="s">
        <v>54</v>
      </c>
      <c r="G16" s="24">
        <v>30</v>
      </c>
      <c r="H16" s="18">
        <v>36.67</v>
      </c>
      <c r="I16" s="21">
        <f>IFERROR( Table134[[#This Row],[Quantity]]*Table134[[#This Row],[Price Per Unit]], "")</f>
        <v>1100.1000000000001</v>
      </c>
    </row>
    <row r="17" spans="1:9" x14ac:dyDescent="0.25">
      <c r="A17" s="16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4">
        <v>35</v>
      </c>
      <c r="H17" s="18">
        <v>34.29</v>
      </c>
      <c r="I17" s="21">
        <f>IFERROR( Table134[[#This Row],[Quantity]]*Table134[[#This Row],[Price Per Unit]], "")</f>
        <v>1200.1499999999999</v>
      </c>
    </row>
    <row r="18" spans="1:9" x14ac:dyDescent="0.25">
      <c r="A18" s="16">
        <v>44681</v>
      </c>
      <c r="B18" s="20">
        <v>16</v>
      </c>
      <c r="C18" s="17" t="s">
        <v>57</v>
      </c>
      <c r="D18" s="19" t="s">
        <v>95</v>
      </c>
      <c r="E18" s="17" t="s">
        <v>33</v>
      </c>
      <c r="F18" s="17" t="s">
        <v>58</v>
      </c>
      <c r="G18" s="24">
        <v>0</v>
      </c>
      <c r="H18" s="17" t="s">
        <v>30</v>
      </c>
      <c r="I18" s="21" t="str">
        <f>IFERROR( Table134[[#This Row],[Quantity]]*Table134[[#This Row],[Price Per Unit]], "")</f>
        <v/>
      </c>
    </row>
    <row r="19" spans="1:9" x14ac:dyDescent="0.25">
      <c r="A19" s="16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4">
        <v>40</v>
      </c>
      <c r="H19" s="18">
        <v>35</v>
      </c>
      <c r="I19" s="21">
        <f>IFERROR( Table134[[#This Row],[Quantity]]*Table134[[#This Row],[Price Per Unit]], "")</f>
        <v>1400</v>
      </c>
    </row>
    <row r="20" spans="1:9" x14ac:dyDescent="0.25">
      <c r="A20" s="16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4">
        <v>45</v>
      </c>
      <c r="H20" s="18">
        <v>33.33</v>
      </c>
      <c r="I20" s="21">
        <f>IFERROR( Table134[[#This Row],[Quantity]]*Table134[[#This Row],[Price Per Unit]], "")</f>
        <v>1499.85</v>
      </c>
    </row>
    <row r="21" spans="1:9" x14ac:dyDescent="0.25">
      <c r="A21" s="16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4">
        <v>50</v>
      </c>
      <c r="H21" s="18">
        <v>32</v>
      </c>
      <c r="I21" s="21">
        <f>IFERROR( Table134[[#This Row],[Quantity]]*Table134[[#This Row],[Price Per Unit]], "")</f>
        <v>1600</v>
      </c>
    </row>
    <row r="22" spans="1:9" x14ac:dyDescent="0.25">
      <c r="A22" s="16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4">
        <v>55</v>
      </c>
      <c r="H22" s="18">
        <v>30.91</v>
      </c>
      <c r="I22" s="21">
        <f>IFERROR( Table134[[#This Row],[Quantity]]*Table134[[#This Row],[Price Per Unit]], "")</f>
        <v>1700.05</v>
      </c>
    </row>
    <row r="23" spans="1:9" x14ac:dyDescent="0.25">
      <c r="A23" s="16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4">
        <v>60</v>
      </c>
      <c r="H23" s="18">
        <v>30</v>
      </c>
      <c r="I23" s="21">
        <f>IFERROR( Table134[[#This Row],[Quantity]]*Table134[[#This Row],[Price Per Unit]], "")</f>
        <v>1800</v>
      </c>
    </row>
    <row r="24" spans="1:9" x14ac:dyDescent="0.25">
      <c r="A24" s="16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4">
        <v>0</v>
      </c>
      <c r="H24" s="17" t="s">
        <v>30</v>
      </c>
      <c r="I24" s="21" t="str">
        <f>IFERROR( Table134[[#This Row],[Quantity]]*Table134[[#This Row],[Price Per Unit]], "")</f>
        <v/>
      </c>
    </row>
    <row r="25" spans="1:9" x14ac:dyDescent="0.25">
      <c r="A25" s="16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4">
        <v>65</v>
      </c>
      <c r="H25" s="18">
        <v>30.77</v>
      </c>
      <c r="I25" s="21">
        <f>IFERROR( Table134[[#This Row],[Quantity]]*Table134[[#This Row],[Price Per Unit]], "")</f>
        <v>2000.05</v>
      </c>
    </row>
    <row r="26" spans="1:9" x14ac:dyDescent="0.25">
      <c r="A26" s="16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4">
        <v>70</v>
      </c>
      <c r="H26" s="18">
        <v>30</v>
      </c>
      <c r="I26" s="21">
        <f>IFERROR( Table134[[#This Row],[Quantity]]*Table134[[#This Row],[Price Per Unit]], "")</f>
        <v>2100</v>
      </c>
    </row>
    <row r="27" spans="1:9" x14ac:dyDescent="0.25">
      <c r="A27" s="16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4">
        <v>75</v>
      </c>
      <c r="H27" s="18">
        <v>29.33</v>
      </c>
      <c r="I27" s="21">
        <f>IFERROR( Table134[[#This Row],[Quantity]]*Table134[[#This Row],[Price Per Unit]], "")</f>
        <v>2199.75</v>
      </c>
    </row>
    <row r="28" spans="1:9" x14ac:dyDescent="0.25">
      <c r="A28" s="16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4">
        <v>80</v>
      </c>
      <c r="H28" s="18">
        <v>28.75</v>
      </c>
      <c r="I28" s="21">
        <f>IFERROR( Table134[[#This Row],[Quantity]]*Table134[[#This Row],[Price Per Unit]], "")</f>
        <v>2300</v>
      </c>
    </row>
    <row r="29" spans="1:9" x14ac:dyDescent="0.25">
      <c r="A29" s="16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4">
        <v>0</v>
      </c>
      <c r="H29" s="17" t="s">
        <v>30</v>
      </c>
      <c r="I29" s="21" t="str">
        <f>IFERROR( Table134[[#This Row],[Quantity]]*Table134[[#This Row],[Price Per Unit]], "")</f>
        <v/>
      </c>
    </row>
    <row r="30" spans="1:9" x14ac:dyDescent="0.25">
      <c r="A30" s="16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4">
        <v>85</v>
      </c>
      <c r="H30" s="18">
        <v>29.41</v>
      </c>
      <c r="I30" s="21">
        <f>IFERROR( Table134[[#This Row],[Quantity]]*Table134[[#This Row],[Price Per Unit]], "")</f>
        <v>2499.85</v>
      </c>
    </row>
    <row r="31" spans="1:9" x14ac:dyDescent="0.25">
      <c r="A31" s="17" t="s">
        <v>100</v>
      </c>
      <c r="B31" s="20"/>
      <c r="C31" s="17"/>
      <c r="D31" s="17"/>
      <c r="E31" s="17"/>
      <c r="F31" s="17"/>
      <c r="G31" s="24"/>
      <c r="H31" s="18">
        <f>SUBTOTAL(104,Table134[Price Per Unit])</f>
        <v>160</v>
      </c>
      <c r="I31" s="18">
        <f>SUBTOTAL(109,Table134[Sales])</f>
        <v>26399.8</v>
      </c>
    </row>
  </sheetData>
  <conditionalFormatting sqref="B2:B30">
    <cfRule type="duplicateValues" dxfId="62" priority="1"/>
  </conditionalFormatting>
  <dataValidations count="1">
    <dataValidation type="list" allowBlank="1" showInputMessage="1" showErrorMessage="1" sqref="D3:D30">
      <formula1>"North, South, East, West, Asgard"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G11" sqref="G11"/>
    </sheetView>
  </sheetViews>
  <sheetFormatPr defaultRowHeight="15" x14ac:dyDescent="0.25"/>
  <cols>
    <col min="1" max="1" width="12.85546875" style="34" customWidth="1"/>
    <col min="2" max="2" width="7.42578125" bestFit="1" customWidth="1"/>
    <col min="3" max="3" width="17.5703125" bestFit="1" customWidth="1"/>
    <col min="4" max="4" width="11.7109375" bestFit="1" customWidth="1"/>
    <col min="5" max="5" width="11.140625" bestFit="1" customWidth="1"/>
    <col min="6" max="6" width="23.42578125" bestFit="1" customWidth="1"/>
    <col min="7" max="7" width="13.28515625" style="14" bestFit="1" customWidth="1"/>
    <col min="8" max="8" width="17.85546875" style="30" bestFit="1" customWidth="1"/>
    <col min="9" max="9" width="10.85546875" style="30" bestFit="1" customWidth="1"/>
    <col min="10" max="11" width="50.85546875" customWidth="1"/>
  </cols>
  <sheetData>
    <row r="1" spans="1:15" s="7" customFormat="1" ht="48.75" customHeight="1" x14ac:dyDescent="0.3">
      <c r="A1" s="32" t="s">
        <v>103</v>
      </c>
      <c r="B1" s="6"/>
      <c r="C1" s="6"/>
      <c r="D1" s="6"/>
      <c r="E1" s="6"/>
      <c r="F1" s="6"/>
      <c r="G1" s="22"/>
      <c r="H1" s="25"/>
      <c r="I1" s="25"/>
      <c r="J1" s="6"/>
      <c r="K1" s="6"/>
      <c r="L1" s="6"/>
      <c r="M1" s="6"/>
      <c r="N1" s="6"/>
      <c r="O1" s="6"/>
    </row>
    <row r="2" spans="1:15" s="14" customFormat="1" x14ac:dyDescent="0.25">
      <c r="A2" s="31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23" t="s">
        <v>16</v>
      </c>
      <c r="H2" s="26" t="s">
        <v>17</v>
      </c>
      <c r="I2" s="27" t="s">
        <v>102</v>
      </c>
    </row>
    <row r="3" spans="1:15" x14ac:dyDescent="0.25">
      <c r="A3" s="37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4">
        <v>10</v>
      </c>
      <c r="H3" s="28">
        <v>20</v>
      </c>
      <c r="I3" s="29">
        <f>IFERROR( Table1345[[#This Row],[Quantity]]*Table1345[[#This Row],[Price Per Unit]], "")</f>
        <v>200</v>
      </c>
    </row>
    <row r="4" spans="1:15" x14ac:dyDescent="0.25">
      <c r="A4" s="37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4">
        <v>15</v>
      </c>
      <c r="H4" s="28">
        <v>10</v>
      </c>
      <c r="I4" s="29">
        <f>IFERROR( Table1345[[#This Row],[Quantity]]*Table1345[[#This Row],[Price Per Unit]], "")</f>
        <v>150</v>
      </c>
    </row>
    <row r="5" spans="1:15" x14ac:dyDescent="0.25">
      <c r="A5" s="37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4">
        <v>0</v>
      </c>
      <c r="H5" s="28" t="s">
        <v>30</v>
      </c>
      <c r="I5" s="29" t="str">
        <f>IFERROR( Table1345[[#This Row],[Quantity]]*Table1345[[#This Row],[Price Per Unit]], "")</f>
        <v/>
      </c>
    </row>
    <row r="6" spans="1:15" x14ac:dyDescent="0.25">
      <c r="A6" s="37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4">
        <v>25</v>
      </c>
      <c r="H6" s="28">
        <v>10</v>
      </c>
      <c r="I6" s="29">
        <f>IFERROR( Table1345[[#This Row],[Quantity]]*Table1345[[#This Row],[Price Per Unit]], "")</f>
        <v>250</v>
      </c>
    </row>
    <row r="7" spans="1:15" x14ac:dyDescent="0.25">
      <c r="A7" s="37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4">
        <v>30</v>
      </c>
      <c r="H7" s="28">
        <v>16.670000000000002</v>
      </c>
      <c r="I7" s="29">
        <f>IFERROR( Table1345[[#This Row],[Quantity]]*Table1345[[#This Row],[Price Per Unit]], "")</f>
        <v>500.1</v>
      </c>
    </row>
    <row r="8" spans="1:15" x14ac:dyDescent="0.25">
      <c r="A8" s="37">
        <v>44377</v>
      </c>
      <c r="B8" s="20">
        <v>6</v>
      </c>
      <c r="C8" s="17" t="s">
        <v>94</v>
      </c>
      <c r="D8" s="19" t="s">
        <v>95</v>
      </c>
      <c r="E8" s="17" t="s">
        <v>97</v>
      </c>
      <c r="F8" s="17" t="s">
        <v>38</v>
      </c>
      <c r="G8" s="24">
        <v>0</v>
      </c>
      <c r="H8" s="28" t="s">
        <v>30</v>
      </c>
      <c r="I8" s="29" t="str">
        <f>IFERROR( Table1345[[#This Row],[Quantity]]*Table1345[[#This Row],[Price Per Unit]], "")</f>
        <v/>
      </c>
    </row>
    <row r="9" spans="1:15" x14ac:dyDescent="0.25">
      <c r="A9" s="37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4">
        <v>35</v>
      </c>
      <c r="H9" s="28">
        <v>10</v>
      </c>
      <c r="I9" s="29">
        <f>IFERROR( Table1345[[#This Row],[Quantity]]*Table1345[[#This Row],[Price Per Unit]], "")</f>
        <v>350</v>
      </c>
    </row>
    <row r="10" spans="1:15" x14ac:dyDescent="0.25">
      <c r="A10" s="37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4">
        <v>40</v>
      </c>
      <c r="H10" s="28">
        <v>15</v>
      </c>
      <c r="I10" s="29">
        <f>IFERROR( Table1345[[#This Row],[Quantity]]*Table1345[[#This Row],[Price Per Unit]], "")</f>
        <v>600</v>
      </c>
    </row>
    <row r="11" spans="1:15" x14ac:dyDescent="0.25">
      <c r="A11" s="37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4">
        <v>45</v>
      </c>
      <c r="H11" s="28">
        <v>12.22</v>
      </c>
      <c r="I11" s="29">
        <f>IFERROR( Table1345[[#This Row],[Quantity]]*Table1345[[#This Row],[Price Per Unit]], "")</f>
        <v>549.9</v>
      </c>
    </row>
    <row r="12" spans="1:15" x14ac:dyDescent="0.25">
      <c r="A12" s="37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4">
        <v>50</v>
      </c>
      <c r="H12" s="28">
        <v>14</v>
      </c>
      <c r="I12" s="29">
        <f>IFERROR( Table1345[[#This Row],[Quantity]]*Table1345[[#This Row],[Price Per Unit]], "")</f>
        <v>700</v>
      </c>
    </row>
    <row r="13" spans="1:15" x14ac:dyDescent="0.25">
      <c r="A13" s="37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4">
        <v>5</v>
      </c>
      <c r="H13" s="28">
        <v>160</v>
      </c>
      <c r="I13" s="29">
        <f>IFERROR( Table1345[[#This Row],[Quantity]]*Table1345[[#This Row],[Price Per Unit]], "")</f>
        <v>800</v>
      </c>
    </row>
    <row r="14" spans="1:15" x14ac:dyDescent="0.25">
      <c r="A14" s="37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4">
        <v>20</v>
      </c>
      <c r="H14" s="28">
        <v>45</v>
      </c>
      <c r="I14" s="29">
        <f>IFERROR( Table1345[[#This Row],[Quantity]]*Table1345[[#This Row],[Price Per Unit]], "")</f>
        <v>900</v>
      </c>
    </row>
    <row r="15" spans="1:15" x14ac:dyDescent="0.25">
      <c r="A15" s="37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4">
        <v>0</v>
      </c>
      <c r="H15" s="28" t="s">
        <v>30</v>
      </c>
      <c r="I15" s="29" t="str">
        <f>IFERROR( Table1345[[#This Row],[Quantity]]*Table1345[[#This Row],[Price Per Unit]], "")</f>
        <v/>
      </c>
    </row>
    <row r="16" spans="1:15" x14ac:dyDescent="0.25">
      <c r="A16" s="37">
        <v>44620</v>
      </c>
      <c r="B16" s="20">
        <v>14</v>
      </c>
      <c r="C16" s="17" t="s">
        <v>53</v>
      </c>
      <c r="D16" s="19" t="s">
        <v>95</v>
      </c>
      <c r="E16" s="17" t="s">
        <v>97</v>
      </c>
      <c r="F16" s="17" t="s">
        <v>54</v>
      </c>
      <c r="G16" s="24">
        <v>30</v>
      </c>
      <c r="H16" s="28">
        <v>36.67</v>
      </c>
      <c r="I16" s="29">
        <f>IFERROR( Table1345[[#This Row],[Quantity]]*Table1345[[#This Row],[Price Per Unit]], "")</f>
        <v>1100.1000000000001</v>
      </c>
    </row>
    <row r="17" spans="1:9" x14ac:dyDescent="0.25">
      <c r="A17" s="37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4">
        <v>35</v>
      </c>
      <c r="H17" s="28">
        <v>34.29</v>
      </c>
      <c r="I17" s="29">
        <f>IFERROR( Table1345[[#This Row],[Quantity]]*Table1345[[#This Row],[Price Per Unit]], "")</f>
        <v>1200.1499999999999</v>
      </c>
    </row>
    <row r="18" spans="1:9" x14ac:dyDescent="0.25">
      <c r="A18" s="37">
        <v>44681</v>
      </c>
      <c r="B18" s="20">
        <v>16</v>
      </c>
      <c r="C18" s="17" t="s">
        <v>57</v>
      </c>
      <c r="D18" s="19" t="s">
        <v>95</v>
      </c>
      <c r="E18" s="17" t="s">
        <v>33</v>
      </c>
      <c r="F18" s="17" t="s">
        <v>58</v>
      </c>
      <c r="G18" s="24">
        <v>0</v>
      </c>
      <c r="H18" s="28" t="s">
        <v>30</v>
      </c>
      <c r="I18" s="29" t="str">
        <f>IFERROR( Table1345[[#This Row],[Quantity]]*Table1345[[#This Row],[Price Per Unit]], "")</f>
        <v/>
      </c>
    </row>
    <row r="19" spans="1:9" x14ac:dyDescent="0.25">
      <c r="A19" s="37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4">
        <v>40</v>
      </c>
      <c r="H19" s="28">
        <v>35</v>
      </c>
      <c r="I19" s="29">
        <f>IFERROR( Table1345[[#This Row],[Quantity]]*Table1345[[#This Row],[Price Per Unit]], "")</f>
        <v>1400</v>
      </c>
    </row>
    <row r="20" spans="1:9" x14ac:dyDescent="0.25">
      <c r="A20" s="37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4">
        <v>45</v>
      </c>
      <c r="H20" s="28">
        <v>33.33</v>
      </c>
      <c r="I20" s="29">
        <f>IFERROR( Table1345[[#This Row],[Quantity]]*Table1345[[#This Row],[Price Per Unit]], "")</f>
        <v>1499.85</v>
      </c>
    </row>
    <row r="21" spans="1:9" x14ac:dyDescent="0.25">
      <c r="A21" s="37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4">
        <v>50</v>
      </c>
      <c r="H21" s="28">
        <v>32</v>
      </c>
      <c r="I21" s="29">
        <f>IFERROR( Table1345[[#This Row],[Quantity]]*Table1345[[#This Row],[Price Per Unit]], "")</f>
        <v>1600</v>
      </c>
    </row>
    <row r="22" spans="1:9" x14ac:dyDescent="0.25">
      <c r="A22" s="37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4">
        <v>55</v>
      </c>
      <c r="H22" s="28">
        <v>30.91</v>
      </c>
      <c r="I22" s="29">
        <f>IFERROR( Table1345[[#This Row],[Quantity]]*Table1345[[#This Row],[Price Per Unit]], "")</f>
        <v>1700.05</v>
      </c>
    </row>
    <row r="23" spans="1:9" x14ac:dyDescent="0.25">
      <c r="A23" s="37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4">
        <v>60</v>
      </c>
      <c r="H23" s="28">
        <v>30</v>
      </c>
      <c r="I23" s="29">
        <f>IFERROR( Table1345[[#This Row],[Quantity]]*Table1345[[#This Row],[Price Per Unit]], "")</f>
        <v>1800</v>
      </c>
    </row>
    <row r="24" spans="1:9" x14ac:dyDescent="0.25">
      <c r="A24" s="37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4">
        <v>0</v>
      </c>
      <c r="H24" s="28" t="s">
        <v>30</v>
      </c>
      <c r="I24" s="29" t="str">
        <f>IFERROR( Table1345[[#This Row],[Quantity]]*Table1345[[#This Row],[Price Per Unit]], "")</f>
        <v/>
      </c>
    </row>
    <row r="25" spans="1:9" x14ac:dyDescent="0.25">
      <c r="A25" s="37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4">
        <v>65</v>
      </c>
      <c r="H25" s="28">
        <v>30.77</v>
      </c>
      <c r="I25" s="29">
        <f>IFERROR( Table1345[[#This Row],[Quantity]]*Table1345[[#This Row],[Price Per Unit]], "")</f>
        <v>2000.05</v>
      </c>
    </row>
    <row r="26" spans="1:9" x14ac:dyDescent="0.25">
      <c r="A26" s="37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4">
        <v>70</v>
      </c>
      <c r="H26" s="28">
        <v>30</v>
      </c>
      <c r="I26" s="29">
        <f>IFERROR( Table1345[[#This Row],[Quantity]]*Table1345[[#This Row],[Price Per Unit]], "")</f>
        <v>2100</v>
      </c>
    </row>
    <row r="27" spans="1:9" x14ac:dyDescent="0.25">
      <c r="A27" s="37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4">
        <v>75</v>
      </c>
      <c r="H27" s="28">
        <v>29.33</v>
      </c>
      <c r="I27" s="29">
        <f>IFERROR( Table1345[[#This Row],[Quantity]]*Table1345[[#This Row],[Price Per Unit]], "")</f>
        <v>2199.75</v>
      </c>
    </row>
    <row r="28" spans="1:9" x14ac:dyDescent="0.25">
      <c r="A28" s="37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4">
        <v>80</v>
      </c>
      <c r="H28" s="28">
        <v>28.75</v>
      </c>
      <c r="I28" s="29">
        <f>IFERROR( Table1345[[#This Row],[Quantity]]*Table1345[[#This Row],[Price Per Unit]], "")</f>
        <v>2300</v>
      </c>
    </row>
    <row r="29" spans="1:9" x14ac:dyDescent="0.25">
      <c r="A29" s="37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4">
        <v>0</v>
      </c>
      <c r="H29" s="28" t="s">
        <v>30</v>
      </c>
      <c r="I29" s="29" t="str">
        <f>IFERROR( Table1345[[#This Row],[Quantity]]*Table1345[[#This Row],[Price Per Unit]], "")</f>
        <v/>
      </c>
    </row>
    <row r="30" spans="1:9" x14ac:dyDescent="0.25">
      <c r="A30" s="37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4">
        <v>85</v>
      </c>
      <c r="H30" s="28">
        <v>29.41</v>
      </c>
      <c r="I30" s="29">
        <f>IFERROR( Table1345[[#This Row],[Quantity]]*Table1345[[#This Row],[Price Per Unit]], "")</f>
        <v>2499.85</v>
      </c>
    </row>
    <row r="31" spans="1:9" x14ac:dyDescent="0.25">
      <c r="A31" s="33" t="s">
        <v>100</v>
      </c>
      <c r="B31" s="20"/>
      <c r="C31" s="17"/>
      <c r="D31" s="17"/>
      <c r="E31" s="17"/>
      <c r="F31" s="17"/>
      <c r="G31" s="24"/>
      <c r="H31" s="28">
        <f>SUBTOTAL(104,Table1345[Price Per Unit])</f>
        <v>160</v>
      </c>
      <c r="I31" s="28">
        <f>SUBTOTAL(109,Table1345[Sales])</f>
        <v>26399.8</v>
      </c>
    </row>
  </sheetData>
  <conditionalFormatting sqref="B2:B30">
    <cfRule type="duplicateValues" dxfId="41" priority="1"/>
  </conditionalFormatting>
  <dataValidations count="1">
    <dataValidation type="list" allowBlank="1" showInputMessage="1" showErrorMessage="1" sqref="D3:D30">
      <formula1>"North, South, East, West, Asgard"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G6" sqref="G6"/>
    </sheetView>
  </sheetViews>
  <sheetFormatPr defaultRowHeight="15" x14ac:dyDescent="0.25"/>
  <cols>
    <col min="1" max="1" width="11.42578125" style="34" customWidth="1"/>
    <col min="2" max="2" width="7.42578125" bestFit="1" customWidth="1"/>
    <col min="3" max="3" width="17.5703125" bestFit="1" customWidth="1"/>
    <col min="4" max="4" width="11.7109375" bestFit="1" customWidth="1"/>
    <col min="5" max="5" width="11.140625" bestFit="1" customWidth="1"/>
    <col min="6" max="6" width="23.42578125" bestFit="1" customWidth="1"/>
    <col min="7" max="7" width="13.28515625" style="14" bestFit="1" customWidth="1"/>
    <col min="8" max="8" width="17.85546875" style="30" bestFit="1" customWidth="1"/>
    <col min="9" max="9" width="10.85546875" style="30" bestFit="1" customWidth="1"/>
    <col min="10" max="11" width="50.85546875" customWidth="1"/>
  </cols>
  <sheetData>
    <row r="1" spans="1:15" s="7" customFormat="1" ht="48.75" customHeight="1" x14ac:dyDescent="0.3">
      <c r="A1" s="32" t="s">
        <v>104</v>
      </c>
      <c r="B1" s="6"/>
      <c r="C1" s="6"/>
      <c r="D1" s="6"/>
      <c r="E1" s="6"/>
      <c r="F1" s="6"/>
      <c r="G1" s="22"/>
      <c r="H1" s="25"/>
      <c r="I1" s="25"/>
      <c r="J1" s="6"/>
      <c r="K1" s="6"/>
      <c r="L1" s="6"/>
      <c r="M1" s="6"/>
      <c r="N1" s="6"/>
      <c r="O1" s="6"/>
    </row>
    <row r="2" spans="1:15" s="14" customFormat="1" x14ac:dyDescent="0.25">
      <c r="A2" s="31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23" t="s">
        <v>16</v>
      </c>
      <c r="H2" s="26" t="s">
        <v>17</v>
      </c>
      <c r="I2" s="27" t="s">
        <v>102</v>
      </c>
    </row>
    <row r="3" spans="1:15" x14ac:dyDescent="0.25">
      <c r="A3" s="33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4">
        <v>10</v>
      </c>
      <c r="H3" s="28">
        <v>20</v>
      </c>
      <c r="I3" s="29">
        <f>IFERROR( Table13456[[#This Row],[Quantity]]*Table13456[[#This Row],[Price Per Unit]], "")</f>
        <v>200</v>
      </c>
    </row>
    <row r="4" spans="1:15" x14ac:dyDescent="0.25">
      <c r="A4" s="33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4">
        <v>15</v>
      </c>
      <c r="H4" s="28">
        <v>10</v>
      </c>
      <c r="I4" s="29">
        <f>IFERROR( Table13456[[#This Row],[Quantity]]*Table13456[[#This Row],[Price Per Unit]], "")</f>
        <v>150</v>
      </c>
    </row>
    <row r="5" spans="1:15" x14ac:dyDescent="0.25">
      <c r="A5" s="33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4">
        <v>0</v>
      </c>
      <c r="H5" s="28"/>
      <c r="I5" s="29">
        <f>IFERROR( Table13456[[#This Row],[Quantity]]*Table13456[[#This Row],[Price Per Unit]], "")</f>
        <v>0</v>
      </c>
    </row>
    <row r="6" spans="1:15" x14ac:dyDescent="0.25">
      <c r="A6" s="33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4">
        <v>25</v>
      </c>
      <c r="H6" s="28">
        <v>10</v>
      </c>
      <c r="I6" s="29">
        <f>IFERROR( Table13456[[#This Row],[Quantity]]*Table13456[[#This Row],[Price Per Unit]], "")</f>
        <v>250</v>
      </c>
    </row>
    <row r="7" spans="1:15" x14ac:dyDescent="0.25">
      <c r="A7" s="33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4">
        <v>30</v>
      </c>
      <c r="H7" s="28">
        <v>16.670000000000002</v>
      </c>
      <c r="I7" s="29">
        <f>IFERROR( Table13456[[#This Row],[Quantity]]*Table13456[[#This Row],[Price Per Unit]], "")</f>
        <v>500.1</v>
      </c>
    </row>
    <row r="8" spans="1:15" x14ac:dyDescent="0.25">
      <c r="A8" s="33">
        <v>44377</v>
      </c>
      <c r="B8" s="20">
        <v>6</v>
      </c>
      <c r="C8" s="17" t="s">
        <v>94</v>
      </c>
      <c r="D8" s="19" t="s">
        <v>95</v>
      </c>
      <c r="E8" s="17" t="s">
        <v>97</v>
      </c>
      <c r="F8" s="17" t="s">
        <v>38</v>
      </c>
      <c r="G8" s="24">
        <v>0</v>
      </c>
      <c r="H8" s="28"/>
      <c r="I8" s="29">
        <f>IFERROR( Table13456[[#This Row],[Quantity]]*Table13456[[#This Row],[Price Per Unit]], "")</f>
        <v>0</v>
      </c>
    </row>
    <row r="9" spans="1:15" x14ac:dyDescent="0.25">
      <c r="A9" s="33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4">
        <v>35</v>
      </c>
      <c r="H9" s="28">
        <v>10</v>
      </c>
      <c r="I9" s="29">
        <f>IFERROR( Table13456[[#This Row],[Quantity]]*Table13456[[#This Row],[Price Per Unit]], "")</f>
        <v>350</v>
      </c>
    </row>
    <row r="10" spans="1:15" x14ac:dyDescent="0.25">
      <c r="A10" s="33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4">
        <v>40</v>
      </c>
      <c r="H10" s="28">
        <v>15</v>
      </c>
      <c r="I10" s="29">
        <f>IFERROR( Table13456[[#This Row],[Quantity]]*Table13456[[#This Row],[Price Per Unit]], "")</f>
        <v>600</v>
      </c>
    </row>
    <row r="11" spans="1:15" x14ac:dyDescent="0.25">
      <c r="A11" s="33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4">
        <v>45</v>
      </c>
      <c r="H11" s="28">
        <v>12.22</v>
      </c>
      <c r="I11" s="29">
        <f>IFERROR( Table13456[[#This Row],[Quantity]]*Table13456[[#This Row],[Price Per Unit]], "")</f>
        <v>549.9</v>
      </c>
    </row>
    <row r="12" spans="1:15" x14ac:dyDescent="0.25">
      <c r="A12" s="33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4">
        <v>50</v>
      </c>
      <c r="H12" s="28">
        <v>14</v>
      </c>
      <c r="I12" s="29">
        <f>IFERROR( Table13456[[#This Row],[Quantity]]*Table13456[[#This Row],[Price Per Unit]], "")</f>
        <v>700</v>
      </c>
    </row>
    <row r="13" spans="1:15" x14ac:dyDescent="0.25">
      <c r="A13" s="33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4">
        <v>5</v>
      </c>
      <c r="H13" s="28">
        <v>160</v>
      </c>
      <c r="I13" s="29">
        <f>IFERROR( Table13456[[#This Row],[Quantity]]*Table13456[[#This Row],[Price Per Unit]], "")</f>
        <v>800</v>
      </c>
    </row>
    <row r="14" spans="1:15" x14ac:dyDescent="0.25">
      <c r="A14" s="33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4">
        <v>20</v>
      </c>
      <c r="H14" s="28">
        <v>45</v>
      </c>
      <c r="I14" s="29">
        <f>IFERROR( Table13456[[#This Row],[Quantity]]*Table13456[[#This Row],[Price Per Unit]], "")</f>
        <v>900</v>
      </c>
    </row>
    <row r="15" spans="1:15" x14ac:dyDescent="0.25">
      <c r="A15" s="33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4">
        <v>0</v>
      </c>
      <c r="H15" s="28"/>
      <c r="I15" s="29">
        <f>IFERROR( Table13456[[#This Row],[Quantity]]*Table13456[[#This Row],[Price Per Unit]], "")</f>
        <v>0</v>
      </c>
    </row>
    <row r="16" spans="1:15" x14ac:dyDescent="0.25">
      <c r="A16" s="33">
        <v>44620</v>
      </c>
      <c r="B16" s="20">
        <v>14</v>
      </c>
      <c r="C16" s="17" t="s">
        <v>53</v>
      </c>
      <c r="D16" s="19" t="s">
        <v>95</v>
      </c>
      <c r="E16" s="17" t="s">
        <v>97</v>
      </c>
      <c r="F16" s="17" t="s">
        <v>54</v>
      </c>
      <c r="G16" s="24">
        <v>30</v>
      </c>
      <c r="H16" s="28">
        <v>36.67</v>
      </c>
      <c r="I16" s="29">
        <f>IFERROR( Table13456[[#This Row],[Quantity]]*Table13456[[#This Row],[Price Per Unit]], "")</f>
        <v>1100.1000000000001</v>
      </c>
    </row>
    <row r="17" spans="1:9" x14ac:dyDescent="0.25">
      <c r="A17" s="33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4">
        <v>35</v>
      </c>
      <c r="H17" s="28">
        <v>34.29</v>
      </c>
      <c r="I17" s="29">
        <f>IFERROR( Table13456[[#This Row],[Quantity]]*Table13456[[#This Row],[Price Per Unit]], "")</f>
        <v>1200.1499999999999</v>
      </c>
    </row>
    <row r="18" spans="1:9" x14ac:dyDescent="0.25">
      <c r="A18" s="33">
        <v>44681</v>
      </c>
      <c r="B18" s="20">
        <v>16</v>
      </c>
      <c r="C18" s="17" t="s">
        <v>57</v>
      </c>
      <c r="D18" s="19" t="s">
        <v>95</v>
      </c>
      <c r="E18" s="17" t="s">
        <v>33</v>
      </c>
      <c r="F18" s="17" t="s">
        <v>58</v>
      </c>
      <c r="G18" s="24">
        <v>0</v>
      </c>
      <c r="H18" s="28"/>
      <c r="I18" s="29">
        <f>IFERROR( Table13456[[#This Row],[Quantity]]*Table13456[[#This Row],[Price Per Unit]], "")</f>
        <v>0</v>
      </c>
    </row>
    <row r="19" spans="1:9" x14ac:dyDescent="0.25">
      <c r="A19" s="33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4">
        <v>40</v>
      </c>
      <c r="H19" s="28">
        <v>35</v>
      </c>
      <c r="I19" s="29">
        <f>IFERROR( Table13456[[#This Row],[Quantity]]*Table13456[[#This Row],[Price Per Unit]], "")</f>
        <v>1400</v>
      </c>
    </row>
    <row r="20" spans="1:9" x14ac:dyDescent="0.25">
      <c r="A20" s="33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4">
        <v>45</v>
      </c>
      <c r="H20" s="28">
        <v>33.33</v>
      </c>
      <c r="I20" s="29">
        <f>IFERROR( Table13456[[#This Row],[Quantity]]*Table13456[[#This Row],[Price Per Unit]], "")</f>
        <v>1499.85</v>
      </c>
    </row>
    <row r="21" spans="1:9" x14ac:dyDescent="0.25">
      <c r="A21" s="33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4">
        <v>50</v>
      </c>
      <c r="H21" s="28">
        <v>32</v>
      </c>
      <c r="I21" s="29">
        <f>IFERROR( Table13456[[#This Row],[Quantity]]*Table13456[[#This Row],[Price Per Unit]], "")</f>
        <v>1600</v>
      </c>
    </row>
    <row r="22" spans="1:9" x14ac:dyDescent="0.25">
      <c r="A22" s="33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4">
        <v>55</v>
      </c>
      <c r="H22" s="28">
        <v>30.91</v>
      </c>
      <c r="I22" s="29">
        <f>IFERROR( Table13456[[#This Row],[Quantity]]*Table13456[[#This Row],[Price Per Unit]], "")</f>
        <v>1700.05</v>
      </c>
    </row>
    <row r="23" spans="1:9" x14ac:dyDescent="0.25">
      <c r="A23" s="33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4">
        <v>60</v>
      </c>
      <c r="H23" s="28">
        <v>30</v>
      </c>
      <c r="I23" s="29">
        <f>IFERROR( Table13456[[#This Row],[Quantity]]*Table13456[[#This Row],[Price Per Unit]], "")</f>
        <v>1800</v>
      </c>
    </row>
    <row r="24" spans="1:9" x14ac:dyDescent="0.25">
      <c r="A24" s="33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4">
        <v>0</v>
      </c>
      <c r="H24" s="28"/>
      <c r="I24" s="29">
        <f>IFERROR( Table13456[[#This Row],[Quantity]]*Table13456[[#This Row],[Price Per Unit]], "")</f>
        <v>0</v>
      </c>
    </row>
    <row r="25" spans="1:9" x14ac:dyDescent="0.25">
      <c r="A25" s="33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4">
        <v>65</v>
      </c>
      <c r="H25" s="28">
        <v>30.77</v>
      </c>
      <c r="I25" s="29">
        <f>IFERROR( Table13456[[#This Row],[Quantity]]*Table13456[[#This Row],[Price Per Unit]], "")</f>
        <v>2000.05</v>
      </c>
    </row>
    <row r="26" spans="1:9" x14ac:dyDescent="0.25">
      <c r="A26" s="33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4">
        <v>70</v>
      </c>
      <c r="H26" s="28">
        <v>30</v>
      </c>
      <c r="I26" s="29">
        <f>IFERROR( Table13456[[#This Row],[Quantity]]*Table13456[[#This Row],[Price Per Unit]], "")</f>
        <v>2100</v>
      </c>
    </row>
    <row r="27" spans="1:9" x14ac:dyDescent="0.25">
      <c r="A27" s="33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4">
        <v>75</v>
      </c>
      <c r="H27" s="28">
        <v>29.33</v>
      </c>
      <c r="I27" s="29">
        <f>IFERROR( Table13456[[#This Row],[Quantity]]*Table13456[[#This Row],[Price Per Unit]], "")</f>
        <v>2199.75</v>
      </c>
    </row>
    <row r="28" spans="1:9" x14ac:dyDescent="0.25">
      <c r="A28" s="33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4">
        <v>80</v>
      </c>
      <c r="H28" s="28">
        <v>28.75</v>
      </c>
      <c r="I28" s="29">
        <f>IFERROR( Table13456[[#This Row],[Quantity]]*Table13456[[#This Row],[Price Per Unit]], "")</f>
        <v>2300</v>
      </c>
    </row>
    <row r="29" spans="1:9" x14ac:dyDescent="0.25">
      <c r="A29" s="33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4">
        <v>0</v>
      </c>
      <c r="H29" s="28"/>
      <c r="I29" s="29">
        <f>IFERROR( Table13456[[#This Row],[Quantity]]*Table13456[[#This Row],[Price Per Unit]], "")</f>
        <v>0</v>
      </c>
    </row>
    <row r="30" spans="1:9" x14ac:dyDescent="0.25">
      <c r="A30" s="33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4">
        <v>85</v>
      </c>
      <c r="H30" s="28">
        <v>29.41</v>
      </c>
      <c r="I30" s="29">
        <f>IFERROR( Table13456[[#This Row],[Quantity]]*Table13456[[#This Row],[Price Per Unit]], "")</f>
        <v>2499.85</v>
      </c>
    </row>
    <row r="31" spans="1:9" x14ac:dyDescent="0.25">
      <c r="A31" s="33" t="s">
        <v>100</v>
      </c>
      <c r="B31" s="20"/>
      <c r="C31" s="17"/>
      <c r="D31" s="17"/>
      <c r="E31" s="17"/>
      <c r="F31" s="17"/>
      <c r="G31" s="24"/>
      <c r="H31" s="28">
        <f>SUBTOTAL(104,Table13456[Price Per Unit])</f>
        <v>160</v>
      </c>
      <c r="I31" s="28">
        <f>SUBTOTAL(109,Table13456[Sales])</f>
        <v>26399.8</v>
      </c>
    </row>
  </sheetData>
  <conditionalFormatting sqref="B2:B30">
    <cfRule type="duplicateValues" dxfId="20" priority="1"/>
  </conditionalFormatting>
  <dataValidations count="1">
    <dataValidation type="list" allowBlank="1" showInputMessage="1" showErrorMessage="1" sqref="D3:D30">
      <formula1>"North, South, East, West, Asgard"</formula1>
    </dataValidation>
  </dataValidations>
  <pageMargins left="0.7" right="0.7" top="0.75" bottom="0.75" header="0.3" footer="0.3"/>
  <ignoredErrors>
    <ignoredError sqref="D8" listDataValidation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showRowColHeaders="0" topLeftCell="A13" workbookViewId="0">
      <selection activeCell="B1" sqref="B1"/>
    </sheetView>
  </sheetViews>
  <sheetFormatPr defaultColWidth="0" defaultRowHeight="15" zeroHeight="1" x14ac:dyDescent="0.25"/>
  <cols>
    <col min="1" max="1" width="4" customWidth="1"/>
    <col min="2" max="2" width="46.28515625" customWidth="1"/>
    <col min="3" max="3" width="61" customWidth="1"/>
    <col min="4" max="4" width="1.42578125" customWidth="1"/>
    <col min="5" max="7" width="9.140625" customWidth="1"/>
    <col min="8" max="16384" width="9.140625" hidden="1"/>
  </cols>
  <sheetData>
    <row r="1" spans="1:8" ht="51" customHeight="1" x14ac:dyDescent="0.25">
      <c r="A1" s="6" t="s">
        <v>105</v>
      </c>
      <c r="B1" s="6"/>
      <c r="C1" s="6"/>
      <c r="D1" s="6"/>
      <c r="E1" s="6"/>
      <c r="F1" s="6"/>
      <c r="G1" s="6"/>
      <c r="H1" s="6"/>
    </row>
    <row r="2" spans="1:8" x14ac:dyDescent="0.25"/>
    <row r="3" spans="1:8" x14ac:dyDescent="0.25">
      <c r="B3" s="1" t="s">
        <v>106</v>
      </c>
    </row>
    <row r="4" spans="1:8" x14ac:dyDescent="0.25">
      <c r="B4" s="2" t="s">
        <v>107</v>
      </c>
      <c r="C4" s="3" t="s">
        <v>108</v>
      </c>
    </row>
    <row r="5" spans="1:8" x14ac:dyDescent="0.25">
      <c r="B5" s="2" t="s">
        <v>109</v>
      </c>
      <c r="C5" s="3" t="s">
        <v>110</v>
      </c>
    </row>
    <row r="6" spans="1:8" x14ac:dyDescent="0.25">
      <c r="B6" s="2" t="s">
        <v>111</v>
      </c>
      <c r="C6" s="3" t="s">
        <v>112</v>
      </c>
    </row>
    <row r="7" spans="1:8" x14ac:dyDescent="0.25"/>
    <row r="8" spans="1:8" x14ac:dyDescent="0.25">
      <c r="B8" s="1" t="s">
        <v>113</v>
      </c>
    </row>
    <row r="9" spans="1:8" x14ac:dyDescent="0.25">
      <c r="B9" s="2" t="s">
        <v>114</v>
      </c>
      <c r="C9" s="3" t="s">
        <v>115</v>
      </c>
    </row>
    <row r="10" spans="1:8" x14ac:dyDescent="0.25"/>
    <row r="11" spans="1:8" x14ac:dyDescent="0.25">
      <c r="B11" s="1" t="s">
        <v>116</v>
      </c>
    </row>
    <row r="12" spans="1:8" x14ac:dyDescent="0.25">
      <c r="B12" s="2" t="s">
        <v>117</v>
      </c>
      <c r="C12" s="3" t="s">
        <v>118</v>
      </c>
    </row>
    <row r="13" spans="1:8" x14ac:dyDescent="0.25">
      <c r="B13" s="2" t="s">
        <v>119</v>
      </c>
      <c r="C13" s="3" t="s">
        <v>120</v>
      </c>
    </row>
    <row r="14" spans="1:8" x14ac:dyDescent="0.25">
      <c r="B14" s="2" t="s">
        <v>121</v>
      </c>
      <c r="C14" s="3" t="s">
        <v>122</v>
      </c>
    </row>
    <row r="15" spans="1:8" x14ac:dyDescent="0.25">
      <c r="B15" s="2" t="s">
        <v>123</v>
      </c>
      <c r="C15" s="3" t="s">
        <v>124</v>
      </c>
    </row>
    <row r="16" spans="1:8" x14ac:dyDescent="0.25">
      <c r="B16" s="2" t="s">
        <v>125</v>
      </c>
      <c r="C16" s="3" t="s">
        <v>126</v>
      </c>
    </row>
    <row r="17" spans="2:3" x14ac:dyDescent="0.25">
      <c r="B17" s="2" t="s">
        <v>127</v>
      </c>
      <c r="C17" s="3" t="s">
        <v>128</v>
      </c>
    </row>
    <row r="18" spans="2:3" x14ac:dyDescent="0.25">
      <c r="B18" s="2" t="s">
        <v>129</v>
      </c>
      <c r="C18" s="3" t="s">
        <v>130</v>
      </c>
    </row>
    <row r="19" spans="2:3" x14ac:dyDescent="0.25">
      <c r="B19" s="2" t="s">
        <v>131</v>
      </c>
      <c r="C19" s="3" t="s">
        <v>132</v>
      </c>
    </row>
    <row r="20" spans="2:3" x14ac:dyDescent="0.25">
      <c r="B20" s="2" t="s">
        <v>133</v>
      </c>
      <c r="C20" s="3" t="s">
        <v>134</v>
      </c>
    </row>
    <row r="21" spans="2:3" x14ac:dyDescent="0.25">
      <c r="B21" s="2" t="s">
        <v>135</v>
      </c>
      <c r="C21" s="3" t="s">
        <v>136</v>
      </c>
    </row>
    <row r="22" spans="2:3" x14ac:dyDescent="0.25">
      <c r="B22" s="2" t="s">
        <v>137</v>
      </c>
      <c r="C22" s="3" t="s">
        <v>138</v>
      </c>
    </row>
    <row r="23" spans="2:3" x14ac:dyDescent="0.25">
      <c r="B23" s="2" t="s">
        <v>139</v>
      </c>
      <c r="C23" s="3" t="s">
        <v>140</v>
      </c>
    </row>
    <row r="24" spans="2:3" x14ac:dyDescent="0.25">
      <c r="B24" s="2" t="s">
        <v>141</v>
      </c>
      <c r="C24" s="3" t="s">
        <v>142</v>
      </c>
    </row>
    <row r="25" spans="2:3" x14ac:dyDescent="0.25">
      <c r="B25" s="2" t="s">
        <v>143</v>
      </c>
      <c r="C25" s="3" t="s">
        <v>144</v>
      </c>
    </row>
    <row r="26" spans="2:3" x14ac:dyDescent="0.25">
      <c r="B26" s="2"/>
      <c r="C26" s="3"/>
    </row>
    <row r="27" spans="2:3" x14ac:dyDescent="0.25">
      <c r="B27" s="1" t="s">
        <v>145</v>
      </c>
    </row>
    <row r="28" spans="2:3" x14ac:dyDescent="0.25">
      <c r="B28" s="2" t="s">
        <v>146</v>
      </c>
      <c r="C28" s="3" t="s">
        <v>147</v>
      </c>
    </row>
    <row r="29" spans="2:3" x14ac:dyDescent="0.25">
      <c r="B29" s="2"/>
      <c r="C29" s="3"/>
    </row>
    <row r="30" spans="2:3" x14ac:dyDescent="0.25">
      <c r="B30" s="1" t="s">
        <v>148</v>
      </c>
      <c r="C30" s="3"/>
    </row>
    <row r="31" spans="2:3" x14ac:dyDescent="0.25"/>
    <row r="32" spans="2:3" x14ac:dyDescent="0.25"/>
    <row r="33" x14ac:dyDescent="0.25"/>
    <row r="34" x14ac:dyDescent="0.25"/>
    <row r="35" x14ac:dyDescent="0.25"/>
  </sheetData>
  <hyperlinks>
    <hyperlink ref="C5" r:id="rId1" display="http://www.myonlinetraininghub.com/category/excel-charts"/>
    <hyperlink ref="C6" r:id="rId2" display="http://www.myonlinetraininghub.com/category/excel-dashboard"/>
    <hyperlink ref="C19" r:id="rId3"/>
    <hyperlink ref="C9" r:id="rId4" display="http://www.myonlinetraininghub.com/excel-webinars"/>
    <hyperlink ref="C28" r:id="rId5"/>
    <hyperlink ref="C18" r:id="rId6"/>
    <hyperlink ref="C4" r:id="rId7"/>
    <hyperlink ref="C12" r:id="rId8"/>
    <hyperlink ref="C13" r:id="rId9"/>
    <hyperlink ref="C14" r:id="rId10"/>
    <hyperlink ref="C15" r:id="rId11"/>
    <hyperlink ref="C16" r:id="rId12"/>
    <hyperlink ref="C17" r:id="rId13"/>
    <hyperlink ref="C20" r:id="rId14"/>
    <hyperlink ref="C21" r:id="rId15"/>
    <hyperlink ref="C22" r:id="rId16"/>
    <hyperlink ref="C23" r:id="rId17"/>
    <hyperlink ref="C24" r:id="rId18"/>
    <hyperlink ref="C25" r:id="rId19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customXml/itemProps4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Copyright</vt:lpstr>
      <vt:lpstr>Data</vt:lpstr>
      <vt:lpstr>AutoFit</vt:lpstr>
      <vt:lpstr>Remove Duplicates</vt:lpstr>
      <vt:lpstr>Trim Extra Spaces</vt:lpstr>
      <vt:lpstr>Eliminate Blank Cells</vt:lpstr>
      <vt:lpstr>Spell Check</vt:lpstr>
      <vt:lpstr>Data Validation</vt:lpstr>
      <vt:lpstr>Table</vt:lpstr>
      <vt:lpstr>IFERROR</vt:lpstr>
      <vt:lpstr>Number Format</vt:lpstr>
      <vt:lpstr>Find &amp; Replace</vt:lpstr>
      <vt:lpstr>More Resources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RURALNET 2025</cp:lastModifiedBy>
  <cp:revision/>
  <dcterms:created xsi:type="dcterms:W3CDTF">2019-12-23T04:48:23Z</dcterms:created>
  <dcterms:modified xsi:type="dcterms:W3CDTF">2026-04-21T09:40:05Z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